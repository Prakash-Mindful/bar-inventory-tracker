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tems" sheetId="2" state="visible" r:id="rId4"/>
    <sheet name="Counts" sheetId="3" state="visible" r:id="rId5"/>
    <sheet name="Daily re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<sst xmlns="http://schemas.openxmlformats.org/spreadsheetml/2006/main" count="765" uniqueCount="178">
  <si>
    <t xml:space="preserve">Bar inventory tracker</t>
  </si>
  <si>
    <t xml:space="preserve">Connect the phone count page to this file</t>
  </si>
  <si>
    <t xml:space="preserve">1.  Put this file in Google Drive, open it, then File &gt; Save as Google Sheets. Apps Script cannot run on an .xlsx.</t>
  </si>
  <si>
    <t xml:space="preserve">2.  In the Google Sheets copy: Extensions &gt; Apps Script. Paste in google-sheet-endpoint.gs and save.</t>
  </si>
  <si>
    <t xml:space="preserve">3.  Deploy &gt; New deployment &gt; Web app. Execute as: Me. Who has access: Anyone. Authorise it.</t>
  </si>
  <si>
    <t xml:space="preserve">4.  Copy the URL ending in /exec.</t>
  </si>
  <si>
    <t xml:space="preserve">5.  Open bar-count.html on the phone, tap the sync line under the progress bar, paste the URL, Save and test.</t>
  </si>
  <si>
    <t xml:space="preserve">     From then on every item lands in the Counts tab a second or two after it is saved on the phone.</t>
  </si>
  <si>
    <t xml:space="preserve">The three tabs</t>
  </si>
  <si>
    <t xml:space="preserve">Items      Master list. Add, rename or retire items here. Fill in Par level (yellow) for anything you want an order warning on.</t>
  </si>
  <si>
    <t xml:space="preserve">Counts     One row per item per count. It only ever grows. Nothing here is overwritten, which is what makes history possible.</t>
  </si>
  <si>
    <t xml:space="preserve">Daily report   Type a date in B1 to see overnight change, morning, night, poured and an ORDER flag for that day.</t>
  </si>
  <si>
    <t xml:space="preserve">How the change is worked out</t>
  </si>
  <si>
    <t xml:space="preserve">Every saved item is compared with the last count of that same item, whenever that was, and the difference is stored on the row.</t>
  </si>
  <si>
    <t xml:space="preserve">The phone shows it as you count. The sheet keeps it in Prev qty and Change on the Counts tab.</t>
  </si>
  <si>
    <t xml:space="preserve">Correcting an old count re-does its own change and the one after it, so the history stays consistent.</t>
  </si>
  <si>
    <t xml:space="preserve">If the phone cannot reach the sheet</t>
  </si>
  <si>
    <t xml:space="preserve">The count stays on the phone. Use Review &gt; Copy rows for Sheets and paste into the first empty row of Counts, or Download CSV.</t>
  </si>
  <si>
    <t xml:space="preserve">Paste starting in column A. All nine columns matter — Key in column I is what the Daily report matches on.</t>
  </si>
  <si>
    <t xml:space="preserve">No-code alternative</t>
  </si>
  <si>
    <t xml:space="preserve">If you would rather not deploy a script, Google AppSheet builds a phone app straight off this file with no code.</t>
  </si>
  <si>
    <t xml:space="preserve">It is slower to count on than the tap-the-level page, but there is nothing to host and nothing to maintain.</t>
  </si>
  <si>
    <t xml:space="preserve">No</t>
  </si>
  <si>
    <t xml:space="preserve">Item</t>
  </si>
  <si>
    <t xml:space="preserve">Category</t>
  </si>
  <si>
    <t xml:space="preserve">Count as</t>
  </si>
  <si>
    <t xml:space="preserve">Par level</t>
  </si>
  <si>
    <t xml:space="preserve">Active</t>
  </si>
  <si>
    <t xml:space="preserve">Cask</t>
  </si>
  <si>
    <t xml:space="preserve">Liquor</t>
  </si>
  <si>
    <t xml:space="preserve">Part bottles</t>
  </si>
  <si>
    <t xml:space="preserve">Yes</t>
  </si>
  <si>
    <t xml:space="preserve">Skew Ball *</t>
  </si>
  <si>
    <t xml:space="preserve">Sazerac Rye</t>
  </si>
  <si>
    <t xml:space="preserve">Jefferson's Reserve *</t>
  </si>
  <si>
    <t xml:space="preserve">Pegleg Porker *</t>
  </si>
  <si>
    <t xml:space="preserve">Uncle Nearst 1856 *</t>
  </si>
  <si>
    <t xml:space="preserve">Company Distilling</t>
  </si>
  <si>
    <t xml:space="preserve">Larceny</t>
  </si>
  <si>
    <t xml:space="preserve">Jefferson Ocean</t>
  </si>
  <si>
    <t xml:space="preserve">Basil Hayden</t>
  </si>
  <si>
    <t xml:space="preserve">Knob Creek</t>
  </si>
  <si>
    <t xml:space="preserve">Piggy Back *</t>
  </si>
  <si>
    <t xml:space="preserve">FarmStock Rye</t>
  </si>
  <si>
    <t xml:space="preserve">Bulleit 95 Rye *</t>
  </si>
  <si>
    <t xml:space="preserve">Hirsch The Horizon</t>
  </si>
  <si>
    <t xml:space="preserve">Bardstown *</t>
  </si>
  <si>
    <t xml:space="preserve">Tennessee Waltz</t>
  </si>
  <si>
    <t xml:space="preserve">Jim Beam Bourbon *</t>
  </si>
  <si>
    <t xml:space="preserve">Crown Royal *</t>
  </si>
  <si>
    <t xml:space="preserve">Crown Royal Peach</t>
  </si>
  <si>
    <t xml:space="preserve">Captian Morgan Spiced Rum *</t>
  </si>
  <si>
    <t xml:space="preserve">Dewars White Label *</t>
  </si>
  <si>
    <t xml:space="preserve">The Glenlivet *</t>
  </si>
  <si>
    <t xml:space="preserve">Grand Marnier</t>
  </si>
  <si>
    <t xml:space="preserve">Jameson Black Barrel *</t>
  </si>
  <si>
    <t xml:space="preserve">Jameson</t>
  </si>
  <si>
    <t xml:space="preserve">Cointreau *</t>
  </si>
  <si>
    <t xml:space="preserve">Martini &amp; Rossi</t>
  </si>
  <si>
    <t xml:space="preserve">Tanqueray</t>
  </si>
  <si>
    <t xml:space="preserve">Hendrick's Gin</t>
  </si>
  <si>
    <t xml:space="preserve">Jack Daniels *</t>
  </si>
  <si>
    <t xml:space="preserve">Bombay Dry Gin *</t>
  </si>
  <si>
    <t xml:space="preserve">Mount Gay Ecplise</t>
  </si>
  <si>
    <t xml:space="preserve">Kahlua *</t>
  </si>
  <si>
    <t xml:space="preserve">Jack Daniels Fire</t>
  </si>
  <si>
    <t xml:space="preserve">Disaronno</t>
  </si>
  <si>
    <t xml:space="preserve">Cincoro Tequila</t>
  </si>
  <si>
    <t xml:space="preserve">Grey Gouse Vodka</t>
  </si>
  <si>
    <t xml:space="preserve">Ketel One Vodka *</t>
  </si>
  <si>
    <t xml:space="preserve">Absolut Watermleon *</t>
  </si>
  <si>
    <t xml:space="preserve">Absolut Mandrin *</t>
  </si>
  <si>
    <t xml:space="preserve">Absolut Vanilla</t>
  </si>
  <si>
    <t xml:space="preserve">Dripping Springs Lemon</t>
  </si>
  <si>
    <t xml:space="preserve">Pinnacle Cake *</t>
  </si>
  <si>
    <t xml:space="preserve">Bols Amstrdam *</t>
  </si>
  <si>
    <t xml:space="preserve">Razzmatazz</t>
  </si>
  <si>
    <t xml:space="preserve">De Kuyper Sour Apple *</t>
  </si>
  <si>
    <t xml:space="preserve">De Kuyper Melon *</t>
  </si>
  <si>
    <t xml:space="preserve">De Kuyper Curacao *</t>
  </si>
  <si>
    <t xml:space="preserve">Paula's Orange</t>
  </si>
  <si>
    <t xml:space="preserve">Paula's Lemon</t>
  </si>
  <si>
    <t xml:space="preserve">Noble Vines Cabernet Sauvignon 337 *</t>
  </si>
  <si>
    <t xml:space="preserve">Wine</t>
  </si>
  <si>
    <t xml:space="preserve">Whole units</t>
  </si>
  <si>
    <t xml:space="preserve">Apothic Red *</t>
  </si>
  <si>
    <t xml:space="preserve">Noble Vines Pinot Noir 667 *</t>
  </si>
  <si>
    <t xml:space="preserve">Barefoot Cabernet Sauvignon Small *</t>
  </si>
  <si>
    <t xml:space="preserve">Barefoot Merlot Small *</t>
  </si>
  <si>
    <t xml:space="preserve">Bourbon Cream</t>
  </si>
  <si>
    <t xml:space="preserve">Vermouth</t>
  </si>
  <si>
    <t xml:space="preserve">Dark House</t>
  </si>
  <si>
    <t xml:space="preserve">Mixers &amp; NA</t>
  </si>
  <si>
    <t xml:space="preserve">Bailey's The Orginal *</t>
  </si>
  <si>
    <t xml:space="preserve">Deep Eddy Orange *</t>
  </si>
  <si>
    <t xml:space="preserve">Zonin Prosecco</t>
  </si>
  <si>
    <t xml:space="preserve">Martini &amp; Rossi Extra Dry</t>
  </si>
  <si>
    <t xml:space="preserve">Castello</t>
  </si>
  <si>
    <t xml:space="preserve">Fire Ball</t>
  </si>
  <si>
    <t xml:space="preserve">Liberty Creek Chardonnay</t>
  </si>
  <si>
    <t xml:space="preserve">Bloody Mary</t>
  </si>
  <si>
    <t xml:space="preserve">Four Roses *</t>
  </si>
  <si>
    <t xml:space="preserve">Tito's</t>
  </si>
  <si>
    <t xml:space="preserve">Port Royal Rum</t>
  </si>
  <si>
    <t xml:space="preserve">Margaritaville Silver</t>
  </si>
  <si>
    <t xml:space="preserve">Margaritaville Gold</t>
  </si>
  <si>
    <t xml:space="preserve">Mr. Boston Triple Sec</t>
  </si>
  <si>
    <t xml:space="preserve">Skyy Vodka *</t>
  </si>
  <si>
    <t xml:space="preserve">Budwiser (check in back keg station)</t>
  </si>
  <si>
    <t xml:space="preserve">Beer</t>
  </si>
  <si>
    <t xml:space="preserve">Bud Light (check in back keg station)</t>
  </si>
  <si>
    <t xml:space="preserve">Corona Extra (check in back keg station)</t>
  </si>
  <si>
    <t xml:space="preserve">Coors Light (check in back keg station)</t>
  </si>
  <si>
    <t xml:space="preserve">Miller Light (check in back keg station)</t>
  </si>
  <si>
    <t xml:space="preserve">Yuengling (check in back keg station)</t>
  </si>
  <si>
    <t xml:space="preserve">Angry Orchard (check in back keg station)</t>
  </si>
  <si>
    <t xml:space="preserve">Corona Premier (check in back keg station)</t>
  </si>
  <si>
    <t xml:space="preserve">Michelob Ultra (check in back keg station)</t>
  </si>
  <si>
    <t xml:space="preserve">Highnoon Black Cherry</t>
  </si>
  <si>
    <t xml:space="preserve">Seltzer &amp; RTD</t>
  </si>
  <si>
    <t xml:space="preserve">Highnoon Pineapple</t>
  </si>
  <si>
    <t xml:space="preserve">Highnoon Watermelon</t>
  </si>
  <si>
    <t xml:space="preserve">Highnoon Grapefruit</t>
  </si>
  <si>
    <t xml:space="preserve">Ginger Ale</t>
  </si>
  <si>
    <t xml:space="preserve">Grape Fruit Juice</t>
  </si>
  <si>
    <t xml:space="preserve">Blue Ribbon</t>
  </si>
  <si>
    <t xml:space="preserve">Truly Cherry</t>
  </si>
  <si>
    <t xml:space="preserve">Truly Strawberrylime</t>
  </si>
  <si>
    <t xml:space="preserve">Truly Blueberry</t>
  </si>
  <si>
    <t xml:space="preserve">Truly Wildberry</t>
  </si>
  <si>
    <t xml:space="preserve">Athletic</t>
  </si>
  <si>
    <t xml:space="preserve">Brooklyn Brewery Non Alcoholic Blue</t>
  </si>
  <si>
    <t xml:space="preserve">Brooklyn Brewery Non Alcoholic Pink</t>
  </si>
  <si>
    <t xml:space="preserve">Brooklyn Brewery Non Alcohlic Green</t>
  </si>
  <si>
    <t xml:space="preserve">Brooklyn Brewery Non Alcholic Yellow</t>
  </si>
  <si>
    <t xml:space="preserve">Tonic water</t>
  </si>
  <si>
    <t xml:space="preserve">Ginger Beer</t>
  </si>
  <si>
    <t xml:space="preserve">flvrNA</t>
  </si>
  <si>
    <t xml:space="preserve">Espresso Martini Mix</t>
  </si>
  <si>
    <t xml:space="preserve">Cucumber mint</t>
  </si>
  <si>
    <t xml:space="preserve">Modelo Negra</t>
  </si>
  <si>
    <t xml:space="preserve">Creme de Cacao *</t>
  </si>
  <si>
    <t xml:space="preserve">Rum Chata *</t>
  </si>
  <si>
    <t xml:space="preserve">Malibu *</t>
  </si>
  <si>
    <t xml:space="preserve">London Dry Gin *</t>
  </si>
  <si>
    <t xml:space="preserve">MR.Black Coffee *</t>
  </si>
  <si>
    <t xml:space="preserve">De Kuyper Buttershots *</t>
  </si>
  <si>
    <t xml:space="preserve">Dripping Springs Orange</t>
  </si>
  <si>
    <t xml:space="preserve">No Name Bottle Yellow *</t>
  </si>
  <si>
    <t xml:space="preserve">Jameson Orange *</t>
  </si>
  <si>
    <t xml:space="preserve">Cigar Box *</t>
  </si>
  <si>
    <t xml:space="preserve">Liberty Creek Pinot Noir *</t>
  </si>
  <si>
    <t xml:space="preserve">Blue on yellow = your input. Par level is the minimum you want on hand; leave it blank to skip the check.</t>
  </si>
  <si>
    <t xml:space="preserve">Date</t>
  </si>
  <si>
    <t xml:space="preserve">Shift</t>
  </si>
  <si>
    <t xml:space="preserve">Qty</t>
  </si>
  <si>
    <t xml:space="preserve">Unit</t>
  </si>
  <si>
    <t xml:space="preserve">Counted by</t>
  </si>
  <si>
    <t xml:space="preserve">Key</t>
  </si>
  <si>
    <t xml:space="preserve">Prev qty</t>
  </si>
  <si>
    <t xml:space="preserve">Change</t>
  </si>
  <si>
    <t xml:space="preserve">2020-01-01</t>
  </si>
  <si>
    <t xml:space="preserve">Morning</t>
  </si>
  <si>
    <t xml:space="preserve">bottle</t>
  </si>
  <si>
    <t xml:space="preserve">EXAMPLE ROW - safe to delete</t>
  </si>
  <si>
    <t xml:space="preserve">2020-01-01|Morning|1</t>
  </si>
  <si>
    <t xml:space="preserve">The phone writes here. Key is Date|Shift|No — it lets a re-sent count correct its own row instead of duplicating it.</t>
  </si>
  <si>
    <t xml:space="preserve">Prev qty and Change are filled in by the script: the previous count of that same item, and the difference. Do not type in them.</t>
  </si>
  <si>
    <t xml:space="preserve">Count date</t>
  </si>
  <si>
    <t xml:space="preserve">2026-08-29</t>
  </si>
  <si>
    <t xml:space="preserve">&lt;- type the date to look at (yyyy-mm-dd)</t>
  </si>
  <si>
    <t xml:space="preserve">Overnight</t>
  </si>
  <si>
    <t xml:space="preserve">Night</t>
  </si>
  <si>
    <t xml:space="preserve">Poured</t>
  </si>
  <si>
    <t xml:space="preserve">Par</t>
  </si>
  <si>
    <t xml:space="preserve">Status</t>
  </si>
  <si>
    <t xml:space="preserve">Overnight = the morning count minus the count before it, so it is what moved while the bar was shut. Positive means a delivery landed. Negative with no delivery is worth a look.</t>
  </si>
  <si>
    <t xml:space="preserve">Poured = Morning minus Night on the same date. Status compares the day's latest count against the Par level on the Items tab.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</si>
</sst>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8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1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1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1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2"/>
    </row>
    <row r="22" customFormat="false" ht="15" hidden="false" customHeight="false" outlineLevel="0" collapsed="false">
      <c r="B22" s="1" t="s">
        <v>16</v>
      </c>
    </row>
    <row r="23" customFormat="false" ht="15" hidden="false" customHeight="false" outlineLevel="0" collapsed="false">
      <c r="B23" s="2" t="s">
        <v>17</v>
      </c>
    </row>
    <row r="24" customFormat="false" ht="15" hidden="false" customHeight="false" outlineLevel="0" collapsed="false">
      <c r="B24" s="3" t="s">
        <v>18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1" t="s">
        <v>19</v>
      </c>
    </row>
    <row r="27" customFormat="false" ht="15" hidden="false" customHeight="false" outlineLevel="0" collapsed="false">
      <c r="B27" s="2" t="s">
        <v>20</v>
      </c>
    </row>
    <row r="28" customFormat="false" ht="15" hidden="false" customHeight="false" outlineLevel="0" collapsed="false">
      <c r="B28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9"/>
  </cols>
  <sheetData>
    <row r="1" customFormat="false" ht="15" hidden="false" customHeight="fals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</row>
    <row r="2" customFormat="false" ht="15" hidden="false" customHeight="false" outlineLevel="0" collapsed="false">
      <c r="A2" s="2" t="n">
        <v>1</v>
      </c>
      <c r="B2" s="2" t="s">
        <v>28</v>
      </c>
      <c r="C2" s="2" t="s">
        <v>29</v>
      </c>
      <c r="D2" s="2" t="s">
        <v>30</v>
      </c>
      <c r="E2" s="5"/>
      <c r="F2" s="2" t="s">
        <v>31</v>
      </c>
    </row>
    <row r="3" customFormat="false" ht="15" hidden="false" customHeight="false" outlineLevel="0" collapsed="false">
      <c r="A3" s="2" t="n">
        <v>2</v>
      </c>
      <c r="B3" s="2" t="s">
        <v>32</v>
      </c>
      <c r="C3" s="2" t="s">
        <v>29</v>
      </c>
      <c r="D3" s="2" t="s">
        <v>30</v>
      </c>
      <c r="E3" s="5"/>
      <c r="F3" s="2" t="s">
        <v>31</v>
      </c>
    </row>
    <row r="4" customFormat="false" ht="15" hidden="false" customHeight="false" outlineLevel="0" collapsed="false">
      <c r="A4" s="2" t="n">
        <v>3</v>
      </c>
      <c r="B4" s="2" t="s">
        <v>33</v>
      </c>
      <c r="C4" s="2" t="s">
        <v>29</v>
      </c>
      <c r="D4" s="2" t="s">
        <v>30</v>
      </c>
      <c r="E4" s="5"/>
      <c r="F4" s="2" t="s">
        <v>31</v>
      </c>
    </row>
    <row r="5" customFormat="false" ht="15" hidden="false" customHeight="false" outlineLevel="0" collapsed="false">
      <c r="A5" s="2" t="n">
        <v>4</v>
      </c>
      <c r="B5" s="2" t="s">
        <v>34</v>
      </c>
      <c r="C5" s="2" t="s">
        <v>29</v>
      </c>
      <c r="D5" s="2" t="s">
        <v>30</v>
      </c>
      <c r="E5" s="5"/>
      <c r="F5" s="2" t="s">
        <v>31</v>
      </c>
    </row>
    <row r="6" customFormat="false" ht="15" hidden="false" customHeight="false" outlineLevel="0" collapsed="false">
      <c r="A6" s="2" t="n">
        <v>5</v>
      </c>
      <c r="B6" s="2" t="s">
        <v>35</v>
      </c>
      <c r="C6" s="2" t="s">
        <v>29</v>
      </c>
      <c r="D6" s="2" t="s">
        <v>30</v>
      </c>
      <c r="E6" s="5"/>
      <c r="F6" s="2" t="s">
        <v>31</v>
      </c>
    </row>
    <row r="7" customFormat="false" ht="15" hidden="false" customHeight="false" outlineLevel="0" collapsed="false">
      <c r="A7" s="2" t="n">
        <v>6</v>
      </c>
      <c r="B7" s="2" t="s">
        <v>36</v>
      </c>
      <c r="C7" s="2" t="s">
        <v>29</v>
      </c>
      <c r="D7" s="2" t="s">
        <v>30</v>
      </c>
      <c r="E7" s="5"/>
      <c r="F7" s="2" t="s">
        <v>31</v>
      </c>
    </row>
    <row r="8" customFormat="false" ht="15" hidden="false" customHeight="false" outlineLevel="0" collapsed="false">
      <c r="A8" s="2" t="n">
        <v>7</v>
      </c>
      <c r="B8" s="2" t="s">
        <v>37</v>
      </c>
      <c r="C8" s="2" t="s">
        <v>29</v>
      </c>
      <c r="D8" s="2" t="s">
        <v>30</v>
      </c>
      <c r="E8" s="5"/>
      <c r="F8" s="2" t="s">
        <v>31</v>
      </c>
    </row>
    <row r="9" customFormat="false" ht="15" hidden="false" customHeight="false" outlineLevel="0" collapsed="false">
      <c r="A9" s="2" t="n">
        <v>8</v>
      </c>
      <c r="B9" s="2" t="s">
        <v>38</v>
      </c>
      <c r="C9" s="2" t="s">
        <v>29</v>
      </c>
      <c r="D9" s="2" t="s">
        <v>30</v>
      </c>
      <c r="E9" s="5"/>
      <c r="F9" s="2" t="s">
        <v>31</v>
      </c>
    </row>
    <row r="10" customFormat="false" ht="15" hidden="false" customHeight="false" outlineLevel="0" collapsed="false">
      <c r="A10" s="2" t="n">
        <v>9</v>
      </c>
      <c r="B10" s="2" t="s">
        <v>39</v>
      </c>
      <c r="C10" s="2" t="s">
        <v>29</v>
      </c>
      <c r="D10" s="2" t="s">
        <v>30</v>
      </c>
      <c r="E10" s="5"/>
      <c r="F10" s="2" t="s">
        <v>31</v>
      </c>
    </row>
    <row r="11" customFormat="false" ht="15" hidden="false" customHeight="false" outlineLevel="0" collapsed="false">
      <c r="A11" s="2" t="n">
        <v>10</v>
      </c>
      <c r="B11" s="2" t="s">
        <v>38</v>
      </c>
      <c r="C11" s="2" t="s">
        <v>29</v>
      </c>
      <c r="D11" s="2" t="s">
        <v>30</v>
      </c>
      <c r="E11" s="5"/>
      <c r="F11" s="2" t="s">
        <v>31</v>
      </c>
    </row>
    <row r="12" customFormat="false" ht="15" hidden="false" customHeight="false" outlineLevel="0" collapsed="false">
      <c r="A12" s="2" t="n">
        <v>11</v>
      </c>
      <c r="B12" s="2" t="s">
        <v>40</v>
      </c>
      <c r="C12" s="2" t="s">
        <v>29</v>
      </c>
      <c r="D12" s="2" t="s">
        <v>30</v>
      </c>
      <c r="E12" s="5"/>
      <c r="F12" s="2" t="s">
        <v>31</v>
      </c>
    </row>
    <row r="13" customFormat="false" ht="15" hidden="false" customHeight="false" outlineLevel="0" collapsed="false">
      <c r="A13" s="2" t="n">
        <v>12</v>
      </c>
      <c r="B13" s="2" t="s">
        <v>41</v>
      </c>
      <c r="C13" s="2" t="s">
        <v>29</v>
      </c>
      <c r="D13" s="2" t="s">
        <v>30</v>
      </c>
      <c r="E13" s="5"/>
      <c r="F13" s="2" t="s">
        <v>31</v>
      </c>
    </row>
    <row r="14" customFormat="false" ht="15" hidden="false" customHeight="false" outlineLevel="0" collapsed="false">
      <c r="A14" s="2" t="n">
        <v>13</v>
      </c>
      <c r="B14" s="2" t="s">
        <v>42</v>
      </c>
      <c r="C14" s="2" t="s">
        <v>29</v>
      </c>
      <c r="D14" s="2" t="s">
        <v>30</v>
      </c>
      <c r="E14" s="5"/>
      <c r="F14" s="2" t="s">
        <v>31</v>
      </c>
    </row>
    <row r="15" customFormat="false" ht="15" hidden="false" customHeight="false" outlineLevel="0" collapsed="false">
      <c r="A15" s="2" t="n">
        <v>14</v>
      </c>
      <c r="B15" s="2" t="s">
        <v>43</v>
      </c>
      <c r="C15" s="2" t="s">
        <v>29</v>
      </c>
      <c r="D15" s="2" t="s">
        <v>30</v>
      </c>
      <c r="E15" s="5"/>
      <c r="F15" s="2" t="s">
        <v>31</v>
      </c>
    </row>
    <row r="16" customFormat="false" ht="15" hidden="false" customHeight="false" outlineLevel="0" collapsed="false">
      <c r="A16" s="2" t="n">
        <v>15</v>
      </c>
      <c r="B16" s="2" t="s">
        <v>44</v>
      </c>
      <c r="C16" s="2" t="s">
        <v>29</v>
      </c>
      <c r="D16" s="2" t="s">
        <v>30</v>
      </c>
      <c r="E16" s="5"/>
      <c r="F16" s="2" t="s">
        <v>31</v>
      </c>
    </row>
    <row r="17" customFormat="false" ht="15" hidden="false" customHeight="false" outlineLevel="0" collapsed="false">
      <c r="A17" s="2" t="n">
        <v>16</v>
      </c>
      <c r="B17" s="2" t="s">
        <v>45</v>
      </c>
      <c r="C17" s="2" t="s">
        <v>29</v>
      </c>
      <c r="D17" s="2" t="s">
        <v>30</v>
      </c>
      <c r="E17" s="5"/>
      <c r="F17" s="2" t="s">
        <v>31</v>
      </c>
    </row>
    <row r="18" customFormat="false" ht="15" hidden="false" customHeight="false" outlineLevel="0" collapsed="false">
      <c r="A18" s="2" t="n">
        <v>17</v>
      </c>
      <c r="B18" s="2" t="s">
        <v>46</v>
      </c>
      <c r="C18" s="2" t="s">
        <v>29</v>
      </c>
      <c r="D18" s="2" t="s">
        <v>30</v>
      </c>
      <c r="E18" s="5"/>
      <c r="F18" s="2" t="s">
        <v>31</v>
      </c>
    </row>
    <row r="19" customFormat="false" ht="15" hidden="false" customHeight="false" outlineLevel="0" collapsed="false">
      <c r="A19" s="2" t="n">
        <v>18</v>
      </c>
      <c r="B19" s="2" t="s">
        <v>47</v>
      </c>
      <c r="C19" s="2" t="s">
        <v>29</v>
      </c>
      <c r="D19" s="2" t="s">
        <v>30</v>
      </c>
      <c r="E19" s="5"/>
      <c r="F19" s="2" t="s">
        <v>31</v>
      </c>
    </row>
    <row r="20" customFormat="false" ht="15" hidden="false" customHeight="false" outlineLevel="0" collapsed="false">
      <c r="A20" s="2" t="n">
        <v>19</v>
      </c>
      <c r="B20" s="2" t="s">
        <v>48</v>
      </c>
      <c r="C20" s="2" t="s">
        <v>29</v>
      </c>
      <c r="D20" s="2" t="s">
        <v>30</v>
      </c>
      <c r="E20" s="5"/>
      <c r="F20" s="2" t="s">
        <v>31</v>
      </c>
    </row>
    <row r="21" customFormat="false" ht="15" hidden="false" customHeight="false" outlineLevel="0" collapsed="false">
      <c r="A21" s="2" t="n">
        <v>20</v>
      </c>
      <c r="B21" s="2" t="s">
        <v>49</v>
      </c>
      <c r="C21" s="2" t="s">
        <v>29</v>
      </c>
      <c r="D21" s="2" t="s">
        <v>30</v>
      </c>
      <c r="E21" s="5"/>
      <c r="F21" s="2" t="s">
        <v>31</v>
      </c>
    </row>
    <row r="22" customFormat="false" ht="15" hidden="false" customHeight="false" outlineLevel="0" collapsed="false">
      <c r="A22" s="2" t="n">
        <v>21</v>
      </c>
      <c r="B22" s="2" t="s">
        <v>50</v>
      </c>
      <c r="C22" s="2" t="s">
        <v>29</v>
      </c>
      <c r="D22" s="2" t="s">
        <v>30</v>
      </c>
      <c r="E22" s="5"/>
      <c r="F22" s="2" t="s">
        <v>31</v>
      </c>
    </row>
    <row r="23" customFormat="false" ht="15" hidden="false" customHeight="false" outlineLevel="0" collapsed="false">
      <c r="A23" s="2" t="n">
        <v>22</v>
      </c>
      <c r="B23" s="2" t="s">
        <v>51</v>
      </c>
      <c r="C23" s="2" t="s">
        <v>29</v>
      </c>
      <c r="D23" s="2" t="s">
        <v>30</v>
      </c>
      <c r="E23" s="5"/>
      <c r="F23" s="2" t="s">
        <v>31</v>
      </c>
    </row>
    <row r="24" customFormat="false" ht="15" hidden="false" customHeight="false" outlineLevel="0" collapsed="false">
      <c r="A24" s="2" t="n">
        <v>23</v>
      </c>
      <c r="B24" s="2" t="s">
        <v>52</v>
      </c>
      <c r="C24" s="2" t="s">
        <v>29</v>
      </c>
      <c r="D24" s="2" t="s">
        <v>30</v>
      </c>
      <c r="E24" s="5"/>
      <c r="F24" s="2" t="s">
        <v>31</v>
      </c>
    </row>
    <row r="25" customFormat="false" ht="15" hidden="false" customHeight="false" outlineLevel="0" collapsed="false">
      <c r="A25" s="2" t="n">
        <v>24</v>
      </c>
      <c r="B25" s="2" t="s">
        <v>53</v>
      </c>
      <c r="C25" s="2" t="s">
        <v>29</v>
      </c>
      <c r="D25" s="2" t="s">
        <v>30</v>
      </c>
      <c r="E25" s="5"/>
      <c r="F25" s="2" t="s">
        <v>31</v>
      </c>
    </row>
    <row r="26" customFormat="false" ht="15" hidden="false" customHeight="false" outlineLevel="0" collapsed="false">
      <c r="A26" s="2" t="n">
        <v>25</v>
      </c>
      <c r="B26" s="2" t="s">
        <v>54</v>
      </c>
      <c r="C26" s="2" t="s">
        <v>29</v>
      </c>
      <c r="D26" s="2" t="s">
        <v>30</v>
      </c>
      <c r="E26" s="5"/>
      <c r="F26" s="2" t="s">
        <v>31</v>
      </c>
    </row>
    <row r="27" customFormat="false" ht="15" hidden="false" customHeight="false" outlineLevel="0" collapsed="false">
      <c r="A27" s="2" t="n">
        <v>26</v>
      </c>
      <c r="B27" s="2" t="s">
        <v>55</v>
      </c>
      <c r="C27" s="2" t="s">
        <v>29</v>
      </c>
      <c r="D27" s="2" t="s">
        <v>30</v>
      </c>
      <c r="E27" s="5"/>
      <c r="F27" s="2" t="s">
        <v>31</v>
      </c>
    </row>
    <row r="28" customFormat="false" ht="15" hidden="false" customHeight="false" outlineLevel="0" collapsed="false">
      <c r="A28" s="2" t="n">
        <v>27</v>
      </c>
      <c r="B28" s="2" t="s">
        <v>56</v>
      </c>
      <c r="C28" s="2" t="s">
        <v>29</v>
      </c>
      <c r="D28" s="2" t="s">
        <v>30</v>
      </c>
      <c r="E28" s="5"/>
      <c r="F28" s="2" t="s">
        <v>31</v>
      </c>
    </row>
    <row r="29" customFormat="false" ht="15" hidden="false" customHeight="false" outlineLevel="0" collapsed="false">
      <c r="A29" s="2" t="n">
        <v>28</v>
      </c>
      <c r="B29" s="2" t="s">
        <v>57</v>
      </c>
      <c r="C29" s="2" t="s">
        <v>29</v>
      </c>
      <c r="D29" s="2" t="s">
        <v>30</v>
      </c>
      <c r="E29" s="5"/>
      <c r="F29" s="2" t="s">
        <v>31</v>
      </c>
    </row>
    <row r="30" customFormat="false" ht="15" hidden="false" customHeight="false" outlineLevel="0" collapsed="false">
      <c r="A30" s="2" t="n">
        <v>29</v>
      </c>
      <c r="B30" s="2" t="s">
        <v>58</v>
      </c>
      <c r="C30" s="2" t="s">
        <v>29</v>
      </c>
      <c r="D30" s="2" t="s">
        <v>30</v>
      </c>
      <c r="E30" s="5"/>
      <c r="F30" s="2" t="s">
        <v>31</v>
      </c>
    </row>
    <row r="31" customFormat="false" ht="15" hidden="false" customHeight="false" outlineLevel="0" collapsed="false">
      <c r="A31" s="2" t="n">
        <v>30</v>
      </c>
      <c r="B31" s="2" t="s">
        <v>59</v>
      </c>
      <c r="C31" s="2" t="s">
        <v>29</v>
      </c>
      <c r="D31" s="2" t="s">
        <v>30</v>
      </c>
      <c r="E31" s="5"/>
      <c r="F31" s="2" t="s">
        <v>31</v>
      </c>
    </row>
    <row r="32" customFormat="false" ht="15" hidden="false" customHeight="false" outlineLevel="0" collapsed="false">
      <c r="A32" s="2" t="n">
        <v>31</v>
      </c>
      <c r="B32" s="2" t="s">
        <v>60</v>
      </c>
      <c r="C32" s="2" t="s">
        <v>29</v>
      </c>
      <c r="D32" s="2" t="s">
        <v>30</v>
      </c>
      <c r="E32" s="5"/>
      <c r="F32" s="2" t="s">
        <v>31</v>
      </c>
    </row>
    <row r="33" customFormat="false" ht="15" hidden="false" customHeight="false" outlineLevel="0" collapsed="false">
      <c r="A33" s="2" t="n">
        <v>32</v>
      </c>
      <c r="B33" s="2" t="s">
        <v>61</v>
      </c>
      <c r="C33" s="2" t="s">
        <v>29</v>
      </c>
      <c r="D33" s="2" t="s">
        <v>30</v>
      </c>
      <c r="E33" s="5"/>
      <c r="F33" s="2" t="s">
        <v>31</v>
      </c>
    </row>
    <row r="34" customFormat="false" ht="15" hidden="false" customHeight="false" outlineLevel="0" collapsed="false">
      <c r="A34" s="2" t="n">
        <v>33</v>
      </c>
      <c r="B34" s="2" t="s">
        <v>62</v>
      </c>
      <c r="C34" s="2" t="s">
        <v>29</v>
      </c>
      <c r="D34" s="2" t="s">
        <v>30</v>
      </c>
      <c r="E34" s="5"/>
      <c r="F34" s="2" t="s">
        <v>31</v>
      </c>
    </row>
    <row r="35" customFormat="false" ht="15" hidden="false" customHeight="false" outlineLevel="0" collapsed="false">
      <c r="A35" s="2" t="n">
        <v>34</v>
      </c>
      <c r="B35" s="2" t="s">
        <v>63</v>
      </c>
      <c r="C35" s="2" t="s">
        <v>29</v>
      </c>
      <c r="D35" s="2" t="s">
        <v>30</v>
      </c>
      <c r="E35" s="5"/>
      <c r="F35" s="2" t="s">
        <v>31</v>
      </c>
    </row>
    <row r="36" customFormat="false" ht="15" hidden="false" customHeight="false" outlineLevel="0" collapsed="false">
      <c r="A36" s="2" t="n">
        <v>35</v>
      </c>
      <c r="B36" s="2" t="s">
        <v>64</v>
      </c>
      <c r="C36" s="2" t="s">
        <v>29</v>
      </c>
      <c r="D36" s="2" t="s">
        <v>30</v>
      </c>
      <c r="E36" s="5"/>
      <c r="F36" s="2" t="s">
        <v>31</v>
      </c>
    </row>
    <row r="37" customFormat="false" ht="15" hidden="false" customHeight="false" outlineLevel="0" collapsed="false">
      <c r="A37" s="2" t="n">
        <v>36</v>
      </c>
      <c r="B37" s="2" t="s">
        <v>65</v>
      </c>
      <c r="C37" s="2" t="s">
        <v>29</v>
      </c>
      <c r="D37" s="2" t="s">
        <v>30</v>
      </c>
      <c r="E37" s="5"/>
      <c r="F37" s="2" t="s">
        <v>31</v>
      </c>
    </row>
    <row r="38" customFormat="false" ht="15" hidden="false" customHeight="false" outlineLevel="0" collapsed="false">
      <c r="A38" s="2" t="n">
        <v>37</v>
      </c>
      <c r="B38" s="2" t="s">
        <v>66</v>
      </c>
      <c r="C38" s="2" t="s">
        <v>29</v>
      </c>
      <c r="D38" s="2" t="s">
        <v>30</v>
      </c>
      <c r="E38" s="5"/>
      <c r="F38" s="2" t="s">
        <v>31</v>
      </c>
    </row>
    <row r="39" customFormat="false" ht="15" hidden="false" customHeight="false" outlineLevel="0" collapsed="false">
      <c r="A39" s="2" t="n">
        <v>38</v>
      </c>
      <c r="B39" s="2" t="s">
        <v>67</v>
      </c>
      <c r="C39" s="2" t="s">
        <v>29</v>
      </c>
      <c r="D39" s="2" t="s">
        <v>30</v>
      </c>
      <c r="E39" s="5"/>
      <c r="F39" s="2" t="s">
        <v>31</v>
      </c>
    </row>
    <row r="40" customFormat="false" ht="15" hidden="false" customHeight="false" outlineLevel="0" collapsed="false">
      <c r="A40" s="2" t="n">
        <v>39</v>
      </c>
      <c r="B40" s="2" t="s">
        <v>68</v>
      </c>
      <c r="C40" s="2" t="s">
        <v>29</v>
      </c>
      <c r="D40" s="2" t="s">
        <v>30</v>
      </c>
      <c r="E40" s="5"/>
      <c r="F40" s="2" t="s">
        <v>31</v>
      </c>
    </row>
    <row r="41" customFormat="false" ht="15" hidden="false" customHeight="false" outlineLevel="0" collapsed="false">
      <c r="A41" s="2" t="n">
        <v>40</v>
      </c>
      <c r="B41" s="2" t="s">
        <v>69</v>
      </c>
      <c r="C41" s="2" t="s">
        <v>29</v>
      </c>
      <c r="D41" s="2" t="s">
        <v>30</v>
      </c>
      <c r="E41" s="5"/>
      <c r="F41" s="2" t="s">
        <v>31</v>
      </c>
    </row>
    <row r="42" customFormat="false" ht="15" hidden="false" customHeight="false" outlineLevel="0" collapsed="false">
      <c r="A42" s="2" t="n">
        <v>41</v>
      </c>
      <c r="B42" s="2" t="s">
        <v>70</v>
      </c>
      <c r="C42" s="2" t="s">
        <v>29</v>
      </c>
      <c r="D42" s="2" t="s">
        <v>30</v>
      </c>
      <c r="E42" s="5"/>
      <c r="F42" s="2" t="s">
        <v>31</v>
      </c>
    </row>
    <row r="43" customFormat="false" ht="15" hidden="false" customHeight="false" outlineLevel="0" collapsed="false">
      <c r="A43" s="2" t="n">
        <v>42</v>
      </c>
      <c r="B43" s="2" t="s">
        <v>71</v>
      </c>
      <c r="C43" s="2" t="s">
        <v>29</v>
      </c>
      <c r="D43" s="2" t="s">
        <v>30</v>
      </c>
      <c r="E43" s="5"/>
      <c r="F43" s="2" t="s">
        <v>31</v>
      </c>
    </row>
    <row r="44" customFormat="false" ht="15" hidden="false" customHeight="false" outlineLevel="0" collapsed="false">
      <c r="A44" s="2" t="n">
        <v>43</v>
      </c>
      <c r="B44" s="2" t="s">
        <v>72</v>
      </c>
      <c r="C44" s="2" t="s">
        <v>29</v>
      </c>
      <c r="D44" s="2" t="s">
        <v>30</v>
      </c>
      <c r="E44" s="5"/>
      <c r="F44" s="2" t="s">
        <v>31</v>
      </c>
    </row>
    <row r="45" customFormat="false" ht="15" hidden="false" customHeight="false" outlineLevel="0" collapsed="false">
      <c r="A45" s="2" t="n">
        <v>44</v>
      </c>
      <c r="B45" s="2" t="s">
        <v>73</v>
      </c>
      <c r="C45" s="2" t="s">
        <v>29</v>
      </c>
      <c r="D45" s="2" t="s">
        <v>30</v>
      </c>
      <c r="E45" s="5"/>
      <c r="F45" s="2" t="s">
        <v>31</v>
      </c>
    </row>
    <row r="46" customFormat="false" ht="15" hidden="false" customHeight="false" outlineLevel="0" collapsed="false">
      <c r="A46" s="2" t="n">
        <v>45</v>
      </c>
      <c r="B46" s="2" t="s">
        <v>74</v>
      </c>
      <c r="C46" s="2" t="s">
        <v>29</v>
      </c>
      <c r="D46" s="2" t="s">
        <v>30</v>
      </c>
      <c r="E46" s="5"/>
      <c r="F46" s="2" t="s">
        <v>31</v>
      </c>
    </row>
    <row r="47" customFormat="false" ht="15" hidden="false" customHeight="false" outlineLevel="0" collapsed="false">
      <c r="A47" s="2" t="n">
        <v>46</v>
      </c>
      <c r="B47" s="2" t="s">
        <v>75</v>
      </c>
      <c r="C47" s="2" t="s">
        <v>29</v>
      </c>
      <c r="D47" s="2" t="s">
        <v>30</v>
      </c>
      <c r="E47" s="5"/>
      <c r="F47" s="2" t="s">
        <v>31</v>
      </c>
    </row>
    <row r="48" customFormat="false" ht="15" hidden="false" customHeight="false" outlineLevel="0" collapsed="false">
      <c r="A48" s="2" t="n">
        <v>47</v>
      </c>
      <c r="B48" s="2" t="s">
        <v>76</v>
      </c>
      <c r="C48" s="2" t="s">
        <v>29</v>
      </c>
      <c r="D48" s="2" t="s">
        <v>30</v>
      </c>
      <c r="E48" s="5"/>
      <c r="F48" s="2" t="s">
        <v>31</v>
      </c>
    </row>
    <row r="49" customFormat="false" ht="15" hidden="false" customHeight="false" outlineLevel="0" collapsed="false">
      <c r="A49" s="2" t="n">
        <v>48</v>
      </c>
      <c r="B49" s="2" t="s">
        <v>77</v>
      </c>
      <c r="C49" s="2" t="s">
        <v>29</v>
      </c>
      <c r="D49" s="2" t="s">
        <v>30</v>
      </c>
      <c r="E49" s="5"/>
      <c r="F49" s="2" t="s">
        <v>31</v>
      </c>
    </row>
    <row r="50" customFormat="false" ht="15" hidden="false" customHeight="false" outlineLevel="0" collapsed="false">
      <c r="A50" s="2" t="n">
        <v>49</v>
      </c>
      <c r="B50" s="2" t="s">
        <v>78</v>
      </c>
      <c r="C50" s="2" t="s">
        <v>29</v>
      </c>
      <c r="D50" s="2" t="s">
        <v>30</v>
      </c>
      <c r="E50" s="5"/>
      <c r="F50" s="2" t="s">
        <v>31</v>
      </c>
    </row>
    <row r="51" customFormat="false" ht="15" hidden="false" customHeight="false" outlineLevel="0" collapsed="false">
      <c r="A51" s="2" t="n">
        <v>50</v>
      </c>
      <c r="B51" s="2" t="s">
        <v>79</v>
      </c>
      <c r="C51" s="2" t="s">
        <v>29</v>
      </c>
      <c r="D51" s="2" t="s">
        <v>30</v>
      </c>
      <c r="E51" s="5"/>
      <c r="F51" s="2" t="s">
        <v>31</v>
      </c>
    </row>
    <row r="52" customFormat="false" ht="15" hidden="false" customHeight="false" outlineLevel="0" collapsed="false">
      <c r="A52" s="2" t="n">
        <v>51</v>
      </c>
      <c r="B52" s="2" t="s">
        <v>80</v>
      </c>
      <c r="C52" s="2" t="s">
        <v>29</v>
      </c>
      <c r="D52" s="2" t="s">
        <v>30</v>
      </c>
      <c r="E52" s="5"/>
      <c r="F52" s="2" t="s">
        <v>31</v>
      </c>
    </row>
    <row r="53" customFormat="false" ht="15" hidden="false" customHeight="false" outlineLevel="0" collapsed="false">
      <c r="A53" s="2" t="n">
        <v>52</v>
      </c>
      <c r="B53" s="2" t="s">
        <v>81</v>
      </c>
      <c r="C53" s="2" t="s">
        <v>29</v>
      </c>
      <c r="D53" s="2" t="s">
        <v>30</v>
      </c>
      <c r="E53" s="5"/>
      <c r="F53" s="2" t="s">
        <v>31</v>
      </c>
    </row>
    <row r="54" customFormat="false" ht="15" hidden="false" customHeight="false" outlineLevel="0" collapsed="false">
      <c r="A54" s="2" t="n">
        <v>53</v>
      </c>
      <c r="B54" s="2" t="s">
        <v>82</v>
      </c>
      <c r="C54" s="2" t="s">
        <v>83</v>
      </c>
      <c r="D54" s="2" t="s">
        <v>84</v>
      </c>
      <c r="E54" s="5"/>
      <c r="F54" s="2" t="s">
        <v>31</v>
      </c>
    </row>
    <row r="55" customFormat="false" ht="15" hidden="false" customHeight="false" outlineLevel="0" collapsed="false">
      <c r="A55" s="2" t="n">
        <v>54</v>
      </c>
      <c r="B55" s="2" t="s">
        <v>85</v>
      </c>
      <c r="C55" s="2" t="s">
        <v>83</v>
      </c>
      <c r="D55" s="2" t="s">
        <v>84</v>
      </c>
      <c r="E55" s="5"/>
      <c r="F55" s="2" t="s">
        <v>31</v>
      </c>
    </row>
    <row r="56" customFormat="false" ht="15" hidden="false" customHeight="false" outlineLevel="0" collapsed="false">
      <c r="A56" s="2" t="n">
        <v>55</v>
      </c>
      <c r="B56" s="2" t="s">
        <v>86</v>
      </c>
      <c r="C56" s="2" t="s">
        <v>83</v>
      </c>
      <c r="D56" s="2" t="s">
        <v>84</v>
      </c>
      <c r="E56" s="5"/>
      <c r="F56" s="2" t="s">
        <v>31</v>
      </c>
    </row>
    <row r="57" customFormat="false" ht="15" hidden="false" customHeight="false" outlineLevel="0" collapsed="false">
      <c r="A57" s="2" t="n">
        <v>56</v>
      </c>
      <c r="B57" s="2" t="s">
        <v>87</v>
      </c>
      <c r="C57" s="2" t="s">
        <v>83</v>
      </c>
      <c r="D57" s="2" t="s">
        <v>84</v>
      </c>
      <c r="E57" s="5"/>
      <c r="F57" s="2" t="s">
        <v>31</v>
      </c>
    </row>
    <row r="58" customFormat="false" ht="15" hidden="false" customHeight="false" outlineLevel="0" collapsed="false">
      <c r="A58" s="2" t="n">
        <v>57</v>
      </c>
      <c r="B58" s="2" t="s">
        <v>88</v>
      </c>
      <c r="C58" s="2" t="s">
        <v>83</v>
      </c>
      <c r="D58" s="2" t="s">
        <v>84</v>
      </c>
      <c r="E58" s="5"/>
      <c r="F58" s="2" t="s">
        <v>31</v>
      </c>
    </row>
    <row r="59" customFormat="false" ht="15" hidden="false" customHeight="false" outlineLevel="0" collapsed="false">
      <c r="A59" s="2" t="n">
        <v>58</v>
      </c>
      <c r="B59" s="2" t="s">
        <v>89</v>
      </c>
      <c r="C59" s="2" t="s">
        <v>29</v>
      </c>
      <c r="D59" s="2" t="s">
        <v>30</v>
      </c>
      <c r="E59" s="5"/>
      <c r="F59" s="2" t="s">
        <v>31</v>
      </c>
    </row>
    <row r="60" customFormat="false" ht="15" hidden="false" customHeight="false" outlineLevel="0" collapsed="false">
      <c r="A60" s="2" t="n">
        <v>59</v>
      </c>
      <c r="B60" s="2" t="s">
        <v>90</v>
      </c>
      <c r="C60" s="2" t="s">
        <v>29</v>
      </c>
      <c r="D60" s="2" t="s">
        <v>30</v>
      </c>
      <c r="E60" s="5"/>
      <c r="F60" s="2" t="s">
        <v>31</v>
      </c>
    </row>
    <row r="61" customFormat="false" ht="15" hidden="false" customHeight="false" outlineLevel="0" collapsed="false">
      <c r="A61" s="2" t="n">
        <v>60</v>
      </c>
      <c r="B61" s="2" t="s">
        <v>91</v>
      </c>
      <c r="C61" s="2" t="s">
        <v>92</v>
      </c>
      <c r="D61" s="2" t="s">
        <v>30</v>
      </c>
      <c r="E61" s="5"/>
      <c r="F61" s="2" t="s">
        <v>31</v>
      </c>
    </row>
    <row r="62" customFormat="false" ht="15" hidden="false" customHeight="false" outlineLevel="0" collapsed="false">
      <c r="A62" s="2" t="n">
        <v>61</v>
      </c>
      <c r="B62" s="2" t="s">
        <v>93</v>
      </c>
      <c r="C62" s="2" t="s">
        <v>29</v>
      </c>
      <c r="D62" s="2" t="s">
        <v>30</v>
      </c>
      <c r="E62" s="5"/>
      <c r="F62" s="2" t="s">
        <v>31</v>
      </c>
    </row>
    <row r="63" customFormat="false" ht="15" hidden="false" customHeight="false" outlineLevel="0" collapsed="false">
      <c r="A63" s="2" t="n">
        <v>62</v>
      </c>
      <c r="B63" s="2" t="s">
        <v>94</v>
      </c>
      <c r="C63" s="2" t="s">
        <v>29</v>
      </c>
      <c r="D63" s="2" t="s">
        <v>30</v>
      </c>
      <c r="E63" s="5"/>
      <c r="F63" s="2" t="s">
        <v>31</v>
      </c>
    </row>
    <row r="64" customFormat="false" ht="15" hidden="false" customHeight="false" outlineLevel="0" collapsed="false">
      <c r="A64" s="2" t="n">
        <v>63</v>
      </c>
      <c r="B64" s="2" t="s">
        <v>95</v>
      </c>
      <c r="C64" s="2" t="s">
        <v>83</v>
      </c>
      <c r="D64" s="2" t="s">
        <v>84</v>
      </c>
      <c r="E64" s="5"/>
      <c r="F64" s="2" t="s">
        <v>31</v>
      </c>
    </row>
    <row r="65" customFormat="false" ht="15" hidden="false" customHeight="false" outlineLevel="0" collapsed="false">
      <c r="A65" s="2" t="n">
        <v>64</v>
      </c>
      <c r="B65" s="2" t="s">
        <v>96</v>
      </c>
      <c r="C65" s="2" t="s">
        <v>29</v>
      </c>
      <c r="D65" s="2" t="s">
        <v>30</v>
      </c>
      <c r="E65" s="5"/>
      <c r="F65" s="2" t="s">
        <v>31</v>
      </c>
    </row>
    <row r="66" customFormat="false" ht="15" hidden="false" customHeight="false" outlineLevel="0" collapsed="false">
      <c r="A66" s="2" t="n">
        <v>65</v>
      </c>
      <c r="B66" s="2" t="s">
        <v>97</v>
      </c>
      <c r="C66" s="2" t="s">
        <v>83</v>
      </c>
      <c r="D66" s="2" t="s">
        <v>84</v>
      </c>
      <c r="E66" s="5"/>
      <c r="F66" s="2" t="s">
        <v>31</v>
      </c>
    </row>
    <row r="67" customFormat="false" ht="15" hidden="false" customHeight="false" outlineLevel="0" collapsed="false">
      <c r="A67" s="2" t="n">
        <v>66</v>
      </c>
      <c r="B67" s="2" t="s">
        <v>98</v>
      </c>
      <c r="C67" s="2" t="s">
        <v>29</v>
      </c>
      <c r="D67" s="2" t="s">
        <v>30</v>
      </c>
      <c r="E67" s="5"/>
      <c r="F67" s="2" t="s">
        <v>31</v>
      </c>
    </row>
    <row r="68" customFormat="false" ht="15" hidden="false" customHeight="false" outlineLevel="0" collapsed="false">
      <c r="A68" s="2" t="n">
        <v>67</v>
      </c>
      <c r="B68" s="2" t="s">
        <v>99</v>
      </c>
      <c r="C68" s="2" t="s">
        <v>83</v>
      </c>
      <c r="D68" s="2" t="s">
        <v>84</v>
      </c>
      <c r="E68" s="5"/>
      <c r="F68" s="2" t="s">
        <v>31</v>
      </c>
    </row>
    <row r="69" customFormat="false" ht="15" hidden="false" customHeight="false" outlineLevel="0" collapsed="false">
      <c r="A69" s="2" t="n">
        <v>68</v>
      </c>
      <c r="B69" s="2" t="s">
        <v>100</v>
      </c>
      <c r="C69" s="2" t="s">
        <v>92</v>
      </c>
      <c r="D69" s="2" t="s">
        <v>30</v>
      </c>
      <c r="E69" s="5"/>
      <c r="F69" s="2" t="s">
        <v>31</v>
      </c>
    </row>
    <row r="70" customFormat="false" ht="15" hidden="false" customHeight="false" outlineLevel="0" collapsed="false">
      <c r="A70" s="2" t="n">
        <v>69</v>
      </c>
      <c r="B70" s="2" t="s">
        <v>101</v>
      </c>
      <c r="C70" s="2" t="s">
        <v>29</v>
      </c>
      <c r="D70" s="2" t="s">
        <v>30</v>
      </c>
      <c r="E70" s="5"/>
      <c r="F70" s="2" t="s">
        <v>31</v>
      </c>
    </row>
    <row r="71" customFormat="false" ht="15" hidden="false" customHeight="false" outlineLevel="0" collapsed="false">
      <c r="A71" s="2" t="n">
        <v>70</v>
      </c>
      <c r="B71" s="2" t="s">
        <v>102</v>
      </c>
      <c r="C71" s="2" t="s">
        <v>29</v>
      </c>
      <c r="D71" s="2" t="s">
        <v>30</v>
      </c>
      <c r="E71" s="5"/>
      <c r="F71" s="2" t="s">
        <v>31</v>
      </c>
    </row>
    <row r="72" customFormat="false" ht="15" hidden="false" customHeight="false" outlineLevel="0" collapsed="false">
      <c r="A72" s="2" t="n">
        <v>71</v>
      </c>
      <c r="B72" s="2" t="s">
        <v>103</v>
      </c>
      <c r="C72" s="2" t="s">
        <v>29</v>
      </c>
      <c r="D72" s="2" t="s">
        <v>30</v>
      </c>
      <c r="E72" s="5"/>
      <c r="F72" s="2" t="s">
        <v>31</v>
      </c>
    </row>
    <row r="73" customFormat="false" ht="15" hidden="false" customHeight="false" outlineLevel="0" collapsed="false">
      <c r="A73" s="2" t="n">
        <v>72</v>
      </c>
      <c r="B73" s="2" t="s">
        <v>104</v>
      </c>
      <c r="C73" s="2" t="s">
        <v>29</v>
      </c>
      <c r="D73" s="2" t="s">
        <v>30</v>
      </c>
      <c r="E73" s="5"/>
      <c r="F73" s="2" t="s">
        <v>31</v>
      </c>
    </row>
    <row r="74" customFormat="false" ht="15" hidden="false" customHeight="false" outlineLevel="0" collapsed="false">
      <c r="A74" s="2" t="n">
        <v>73</v>
      </c>
      <c r="B74" s="2" t="s">
        <v>105</v>
      </c>
      <c r="C74" s="2" t="s">
        <v>29</v>
      </c>
      <c r="D74" s="2" t="s">
        <v>30</v>
      </c>
      <c r="E74" s="5"/>
      <c r="F74" s="2" t="s">
        <v>31</v>
      </c>
    </row>
    <row r="75" customFormat="false" ht="15" hidden="false" customHeight="false" outlineLevel="0" collapsed="false">
      <c r="A75" s="2" t="n">
        <v>74</v>
      </c>
      <c r="B75" s="2" t="s">
        <v>106</v>
      </c>
      <c r="C75" s="2" t="s">
        <v>29</v>
      </c>
      <c r="D75" s="2" t="s">
        <v>30</v>
      </c>
      <c r="E75" s="5"/>
      <c r="F75" s="2" t="s">
        <v>31</v>
      </c>
    </row>
    <row r="76" customFormat="false" ht="15" hidden="false" customHeight="false" outlineLevel="0" collapsed="false">
      <c r="A76" s="2" t="n">
        <v>75</v>
      </c>
      <c r="B76" s="2" t="s">
        <v>107</v>
      </c>
      <c r="C76" s="2" t="s">
        <v>29</v>
      </c>
      <c r="D76" s="2" t="s">
        <v>30</v>
      </c>
      <c r="E76" s="5"/>
      <c r="F76" s="2" t="s">
        <v>31</v>
      </c>
    </row>
    <row r="77" customFormat="false" ht="15" hidden="false" customHeight="false" outlineLevel="0" collapsed="false">
      <c r="A77" s="2" t="n">
        <v>76</v>
      </c>
      <c r="B77" s="2" t="s">
        <v>108</v>
      </c>
      <c r="C77" s="2" t="s">
        <v>109</v>
      </c>
      <c r="D77" s="2" t="s">
        <v>84</v>
      </c>
      <c r="E77" s="5"/>
      <c r="F77" s="2" t="s">
        <v>31</v>
      </c>
    </row>
    <row r="78" customFormat="false" ht="15" hidden="false" customHeight="false" outlineLevel="0" collapsed="false">
      <c r="A78" s="2" t="n">
        <v>77</v>
      </c>
      <c r="B78" s="2" t="s">
        <v>110</v>
      </c>
      <c r="C78" s="2" t="s">
        <v>109</v>
      </c>
      <c r="D78" s="2" t="s">
        <v>84</v>
      </c>
      <c r="E78" s="5"/>
      <c r="F78" s="2" t="s">
        <v>31</v>
      </c>
    </row>
    <row r="79" customFormat="false" ht="15" hidden="false" customHeight="false" outlineLevel="0" collapsed="false">
      <c r="A79" s="2" t="n">
        <v>78</v>
      </c>
      <c r="B79" s="2" t="s">
        <v>111</v>
      </c>
      <c r="C79" s="2" t="s">
        <v>109</v>
      </c>
      <c r="D79" s="2" t="s">
        <v>84</v>
      </c>
      <c r="E79" s="5"/>
      <c r="F79" s="2" t="s">
        <v>31</v>
      </c>
    </row>
    <row r="80" customFormat="false" ht="15" hidden="false" customHeight="false" outlineLevel="0" collapsed="false">
      <c r="A80" s="2" t="n">
        <v>79</v>
      </c>
      <c r="B80" s="2" t="s">
        <v>112</v>
      </c>
      <c r="C80" s="2" t="s">
        <v>109</v>
      </c>
      <c r="D80" s="2" t="s">
        <v>84</v>
      </c>
      <c r="E80" s="5"/>
      <c r="F80" s="2" t="s">
        <v>31</v>
      </c>
    </row>
    <row r="81" customFormat="false" ht="15" hidden="false" customHeight="false" outlineLevel="0" collapsed="false">
      <c r="A81" s="2" t="n">
        <v>80</v>
      </c>
      <c r="B81" s="2" t="s">
        <v>113</v>
      </c>
      <c r="C81" s="2" t="s">
        <v>109</v>
      </c>
      <c r="D81" s="2" t="s">
        <v>84</v>
      </c>
      <c r="E81" s="5"/>
      <c r="F81" s="2" t="s">
        <v>31</v>
      </c>
    </row>
    <row r="82" customFormat="false" ht="15" hidden="false" customHeight="false" outlineLevel="0" collapsed="false">
      <c r="A82" s="2" t="n">
        <v>81</v>
      </c>
      <c r="B82" s="2" t="s">
        <v>114</v>
      </c>
      <c r="C82" s="2" t="s">
        <v>109</v>
      </c>
      <c r="D82" s="2" t="s">
        <v>84</v>
      </c>
      <c r="E82" s="5"/>
      <c r="F82" s="2" t="s">
        <v>31</v>
      </c>
    </row>
    <row r="83" customFormat="false" ht="15" hidden="false" customHeight="false" outlineLevel="0" collapsed="false">
      <c r="A83" s="2" t="n">
        <v>82</v>
      </c>
      <c r="B83" s="2" t="s">
        <v>115</v>
      </c>
      <c r="C83" s="2" t="s">
        <v>109</v>
      </c>
      <c r="D83" s="2" t="s">
        <v>84</v>
      </c>
      <c r="E83" s="5"/>
      <c r="F83" s="2" t="s">
        <v>31</v>
      </c>
    </row>
    <row r="84" customFormat="false" ht="15" hidden="false" customHeight="false" outlineLevel="0" collapsed="false">
      <c r="A84" s="2" t="n">
        <v>83</v>
      </c>
      <c r="B84" s="2" t="s">
        <v>116</v>
      </c>
      <c r="C84" s="2" t="s">
        <v>109</v>
      </c>
      <c r="D84" s="2" t="s">
        <v>84</v>
      </c>
      <c r="E84" s="5"/>
      <c r="F84" s="2" t="s">
        <v>31</v>
      </c>
    </row>
    <row r="85" customFormat="false" ht="15" hidden="false" customHeight="false" outlineLevel="0" collapsed="false">
      <c r="A85" s="2" t="n">
        <v>84</v>
      </c>
      <c r="B85" s="2" t="s">
        <v>117</v>
      </c>
      <c r="C85" s="2" t="s">
        <v>109</v>
      </c>
      <c r="D85" s="2" t="s">
        <v>84</v>
      </c>
      <c r="E85" s="5"/>
      <c r="F85" s="2" t="s">
        <v>31</v>
      </c>
    </row>
    <row r="86" customFormat="false" ht="15" hidden="false" customHeight="false" outlineLevel="0" collapsed="false">
      <c r="A86" s="2" t="n">
        <v>85</v>
      </c>
      <c r="B86" s="2" t="s">
        <v>118</v>
      </c>
      <c r="C86" s="2" t="s">
        <v>119</v>
      </c>
      <c r="D86" s="2" t="s">
        <v>84</v>
      </c>
      <c r="E86" s="5"/>
      <c r="F86" s="2" t="s">
        <v>31</v>
      </c>
    </row>
    <row r="87" customFormat="false" ht="15" hidden="false" customHeight="false" outlineLevel="0" collapsed="false">
      <c r="A87" s="2" t="n">
        <v>86</v>
      </c>
      <c r="B87" s="2" t="s">
        <v>120</v>
      </c>
      <c r="C87" s="2" t="s">
        <v>119</v>
      </c>
      <c r="D87" s="2" t="s">
        <v>84</v>
      </c>
      <c r="E87" s="5"/>
      <c r="F87" s="2" t="s">
        <v>31</v>
      </c>
    </row>
    <row r="88" customFormat="false" ht="15" hidden="false" customHeight="false" outlineLevel="0" collapsed="false">
      <c r="A88" s="2" t="n">
        <v>87</v>
      </c>
      <c r="B88" s="2" t="s">
        <v>121</v>
      </c>
      <c r="C88" s="2" t="s">
        <v>119</v>
      </c>
      <c r="D88" s="2" t="s">
        <v>84</v>
      </c>
      <c r="E88" s="5"/>
      <c r="F88" s="2" t="s">
        <v>31</v>
      </c>
    </row>
    <row r="89" customFormat="false" ht="15" hidden="false" customHeight="false" outlineLevel="0" collapsed="false">
      <c r="A89" s="2" t="n">
        <v>88</v>
      </c>
      <c r="B89" s="2" t="s">
        <v>122</v>
      </c>
      <c r="C89" s="2" t="s">
        <v>119</v>
      </c>
      <c r="D89" s="2" t="s">
        <v>84</v>
      </c>
      <c r="E89" s="5"/>
      <c r="F89" s="2" t="s">
        <v>31</v>
      </c>
    </row>
    <row r="90" customFormat="false" ht="15" hidden="false" customHeight="false" outlineLevel="0" collapsed="false">
      <c r="A90" s="2" t="n">
        <v>89</v>
      </c>
      <c r="B90" s="2" t="s">
        <v>123</v>
      </c>
      <c r="C90" s="2" t="s">
        <v>92</v>
      </c>
      <c r="D90" s="2" t="s">
        <v>84</v>
      </c>
      <c r="E90" s="5"/>
      <c r="F90" s="2" t="s">
        <v>31</v>
      </c>
    </row>
    <row r="91" customFormat="false" ht="15" hidden="false" customHeight="false" outlineLevel="0" collapsed="false">
      <c r="A91" s="2" t="n">
        <v>90</v>
      </c>
      <c r="B91" s="2" t="s">
        <v>124</v>
      </c>
      <c r="C91" s="2" t="s">
        <v>92</v>
      </c>
      <c r="D91" s="2" t="s">
        <v>84</v>
      </c>
      <c r="E91" s="5"/>
      <c r="F91" s="2" t="s">
        <v>31</v>
      </c>
    </row>
    <row r="92" customFormat="false" ht="15" hidden="false" customHeight="false" outlineLevel="0" collapsed="false">
      <c r="A92" s="2" t="n">
        <v>91</v>
      </c>
      <c r="B92" s="2" t="s">
        <v>125</v>
      </c>
      <c r="C92" s="2" t="s">
        <v>109</v>
      </c>
      <c r="D92" s="2" t="s">
        <v>84</v>
      </c>
      <c r="E92" s="5"/>
      <c r="F92" s="2" t="s">
        <v>31</v>
      </c>
    </row>
    <row r="93" customFormat="false" ht="15" hidden="false" customHeight="false" outlineLevel="0" collapsed="false">
      <c r="A93" s="2" t="n">
        <v>92</v>
      </c>
      <c r="B93" s="2" t="s">
        <v>126</v>
      </c>
      <c r="C93" s="2" t="s">
        <v>119</v>
      </c>
      <c r="D93" s="2" t="s">
        <v>84</v>
      </c>
      <c r="E93" s="5"/>
      <c r="F93" s="2" t="s">
        <v>31</v>
      </c>
    </row>
    <row r="94" customFormat="false" ht="15" hidden="false" customHeight="false" outlineLevel="0" collapsed="false">
      <c r="A94" s="2" t="n">
        <v>93</v>
      </c>
      <c r="B94" s="2" t="s">
        <v>127</v>
      </c>
      <c r="C94" s="2" t="s">
        <v>119</v>
      </c>
      <c r="D94" s="2" t="s">
        <v>84</v>
      </c>
      <c r="E94" s="5"/>
      <c r="F94" s="2" t="s">
        <v>31</v>
      </c>
    </row>
    <row r="95" customFormat="false" ht="15" hidden="false" customHeight="false" outlineLevel="0" collapsed="false">
      <c r="A95" s="2" t="n">
        <v>94</v>
      </c>
      <c r="B95" s="2" t="s">
        <v>128</v>
      </c>
      <c r="C95" s="2" t="s">
        <v>119</v>
      </c>
      <c r="D95" s="2" t="s">
        <v>84</v>
      </c>
      <c r="E95" s="5"/>
      <c r="F95" s="2" t="s">
        <v>31</v>
      </c>
    </row>
    <row r="96" customFormat="false" ht="15" hidden="false" customHeight="false" outlineLevel="0" collapsed="false">
      <c r="A96" s="2" t="n">
        <v>95</v>
      </c>
      <c r="B96" s="2" t="s">
        <v>129</v>
      </c>
      <c r="C96" s="2" t="s">
        <v>119</v>
      </c>
      <c r="D96" s="2" t="s">
        <v>84</v>
      </c>
      <c r="E96" s="5"/>
      <c r="F96" s="2" t="s">
        <v>31</v>
      </c>
    </row>
    <row r="97" customFormat="false" ht="15" hidden="false" customHeight="false" outlineLevel="0" collapsed="false">
      <c r="A97" s="2" t="n">
        <v>96</v>
      </c>
      <c r="B97" s="2" t="s">
        <v>130</v>
      </c>
      <c r="C97" s="2" t="s">
        <v>109</v>
      </c>
      <c r="D97" s="2" t="s">
        <v>84</v>
      </c>
      <c r="E97" s="5"/>
      <c r="F97" s="2" t="s">
        <v>31</v>
      </c>
    </row>
    <row r="98" customFormat="false" ht="15" hidden="false" customHeight="false" outlineLevel="0" collapsed="false">
      <c r="A98" s="2" t="n">
        <v>97</v>
      </c>
      <c r="B98" s="2" t="s">
        <v>131</v>
      </c>
      <c r="C98" s="2" t="s">
        <v>109</v>
      </c>
      <c r="D98" s="2" t="s">
        <v>84</v>
      </c>
      <c r="E98" s="5"/>
      <c r="F98" s="2" t="s">
        <v>31</v>
      </c>
    </row>
    <row r="99" customFormat="false" ht="15" hidden="false" customHeight="false" outlineLevel="0" collapsed="false">
      <c r="A99" s="2" t="n">
        <v>98</v>
      </c>
      <c r="B99" s="2" t="s">
        <v>132</v>
      </c>
      <c r="C99" s="2" t="s">
        <v>109</v>
      </c>
      <c r="D99" s="2" t="s">
        <v>84</v>
      </c>
      <c r="E99" s="5"/>
      <c r="F99" s="2" t="s">
        <v>31</v>
      </c>
    </row>
    <row r="100" customFormat="false" ht="15" hidden="false" customHeight="false" outlineLevel="0" collapsed="false">
      <c r="A100" s="2" t="n">
        <v>99</v>
      </c>
      <c r="B100" s="2" t="s">
        <v>133</v>
      </c>
      <c r="C100" s="2" t="s">
        <v>109</v>
      </c>
      <c r="D100" s="2" t="s">
        <v>84</v>
      </c>
      <c r="E100" s="5"/>
      <c r="F100" s="2" t="s">
        <v>31</v>
      </c>
    </row>
    <row r="101" customFormat="false" ht="15" hidden="false" customHeight="false" outlineLevel="0" collapsed="false">
      <c r="A101" s="2" t="n">
        <v>100</v>
      </c>
      <c r="B101" s="2" t="s">
        <v>134</v>
      </c>
      <c r="C101" s="2" t="s">
        <v>109</v>
      </c>
      <c r="D101" s="2" t="s">
        <v>84</v>
      </c>
      <c r="E101" s="5"/>
      <c r="F101" s="2" t="s">
        <v>31</v>
      </c>
    </row>
    <row r="102" customFormat="false" ht="15" hidden="false" customHeight="false" outlineLevel="0" collapsed="false">
      <c r="A102" s="2" t="n">
        <v>101</v>
      </c>
      <c r="B102" s="2" t="s">
        <v>135</v>
      </c>
      <c r="C102" s="2" t="s">
        <v>92</v>
      </c>
      <c r="D102" s="2" t="s">
        <v>84</v>
      </c>
      <c r="E102" s="5"/>
      <c r="F102" s="2" t="s">
        <v>31</v>
      </c>
    </row>
    <row r="103" customFormat="false" ht="15" hidden="false" customHeight="false" outlineLevel="0" collapsed="false">
      <c r="A103" s="2" t="n">
        <v>102</v>
      </c>
      <c r="B103" s="2" t="s">
        <v>136</v>
      </c>
      <c r="C103" s="2" t="s">
        <v>92</v>
      </c>
      <c r="D103" s="2" t="s">
        <v>84</v>
      </c>
      <c r="E103" s="5"/>
      <c r="F103" s="2" t="s">
        <v>31</v>
      </c>
    </row>
    <row r="104" customFormat="false" ht="15" hidden="false" customHeight="false" outlineLevel="0" collapsed="false">
      <c r="A104" s="2" t="n">
        <v>103</v>
      </c>
      <c r="B104" s="2" t="s">
        <v>137</v>
      </c>
      <c r="C104" s="2" t="s">
        <v>92</v>
      </c>
      <c r="D104" s="2" t="s">
        <v>84</v>
      </c>
      <c r="E104" s="5"/>
      <c r="F104" s="2" t="s">
        <v>31</v>
      </c>
    </row>
    <row r="105" customFormat="false" ht="15" hidden="false" customHeight="false" outlineLevel="0" collapsed="false">
      <c r="A105" s="2" t="n">
        <v>104</v>
      </c>
      <c r="B105" s="2" t="s">
        <v>138</v>
      </c>
      <c r="C105" s="2" t="s">
        <v>92</v>
      </c>
      <c r="D105" s="2" t="s">
        <v>84</v>
      </c>
      <c r="E105" s="5"/>
      <c r="F105" s="2" t="s">
        <v>31</v>
      </c>
    </row>
    <row r="106" customFormat="false" ht="15" hidden="false" customHeight="false" outlineLevel="0" collapsed="false">
      <c r="A106" s="2" t="n">
        <v>105</v>
      </c>
      <c r="B106" s="2" t="s">
        <v>139</v>
      </c>
      <c r="C106" s="2" t="s">
        <v>92</v>
      </c>
      <c r="D106" s="2" t="s">
        <v>84</v>
      </c>
      <c r="E106" s="5"/>
      <c r="F106" s="2" t="s">
        <v>31</v>
      </c>
    </row>
    <row r="107" customFormat="false" ht="15" hidden="false" customHeight="false" outlineLevel="0" collapsed="false">
      <c r="A107" s="2" t="n">
        <v>106</v>
      </c>
      <c r="B107" s="2" t="s">
        <v>140</v>
      </c>
      <c r="C107" s="2" t="s">
        <v>109</v>
      </c>
      <c r="D107" s="2" t="s">
        <v>84</v>
      </c>
      <c r="E107" s="5"/>
      <c r="F107" s="2" t="s">
        <v>31</v>
      </c>
    </row>
    <row r="108" customFormat="false" ht="15" hidden="false" customHeight="false" outlineLevel="0" collapsed="false">
      <c r="A108" s="2" t="n">
        <v>107</v>
      </c>
      <c r="B108" s="2" t="s">
        <v>141</v>
      </c>
      <c r="C108" s="2" t="s">
        <v>29</v>
      </c>
      <c r="D108" s="2" t="s">
        <v>30</v>
      </c>
      <c r="E108" s="5"/>
      <c r="F108" s="2" t="s">
        <v>31</v>
      </c>
    </row>
    <row r="109" customFormat="false" ht="15" hidden="false" customHeight="false" outlineLevel="0" collapsed="false">
      <c r="A109" s="2" t="n">
        <v>108</v>
      </c>
      <c r="B109" s="2" t="s">
        <v>142</v>
      </c>
      <c r="C109" s="2" t="s">
        <v>29</v>
      </c>
      <c r="D109" s="2" t="s">
        <v>30</v>
      </c>
      <c r="E109" s="5"/>
      <c r="F109" s="2" t="s">
        <v>31</v>
      </c>
    </row>
    <row r="110" customFormat="false" ht="15" hidden="false" customHeight="false" outlineLevel="0" collapsed="false">
      <c r="A110" s="2" t="n">
        <v>109</v>
      </c>
      <c r="B110" s="2" t="s">
        <v>143</v>
      </c>
      <c r="C110" s="2" t="s">
        <v>29</v>
      </c>
      <c r="D110" s="2" t="s">
        <v>30</v>
      </c>
      <c r="E110" s="5"/>
      <c r="F110" s="2" t="s">
        <v>31</v>
      </c>
    </row>
    <row r="111" customFormat="false" ht="15" hidden="false" customHeight="false" outlineLevel="0" collapsed="false">
      <c r="A111" s="2" t="n">
        <v>110</v>
      </c>
      <c r="B111" s="2" t="s">
        <v>144</v>
      </c>
      <c r="C111" s="2" t="s">
        <v>29</v>
      </c>
      <c r="D111" s="2" t="s">
        <v>30</v>
      </c>
      <c r="E111" s="5"/>
      <c r="F111" s="2" t="s">
        <v>31</v>
      </c>
    </row>
    <row r="112" customFormat="false" ht="15" hidden="false" customHeight="false" outlineLevel="0" collapsed="false">
      <c r="A112" s="2" t="n">
        <v>111</v>
      </c>
      <c r="B112" s="2" t="s">
        <v>145</v>
      </c>
      <c r="C112" s="2" t="s">
        <v>29</v>
      </c>
      <c r="D112" s="2" t="s">
        <v>30</v>
      </c>
      <c r="E112" s="5"/>
      <c r="F112" s="2" t="s">
        <v>31</v>
      </c>
    </row>
    <row r="113" customFormat="false" ht="15" hidden="false" customHeight="false" outlineLevel="0" collapsed="false">
      <c r="A113" s="2" t="n">
        <v>112</v>
      </c>
      <c r="B113" s="2" t="s">
        <v>146</v>
      </c>
      <c r="C113" s="2" t="s">
        <v>29</v>
      </c>
      <c r="D113" s="2" t="s">
        <v>30</v>
      </c>
      <c r="E113" s="5"/>
      <c r="F113" s="2" t="s">
        <v>31</v>
      </c>
    </row>
    <row r="114" customFormat="false" ht="15" hidden="false" customHeight="false" outlineLevel="0" collapsed="false">
      <c r="A114" s="2" t="n">
        <v>113</v>
      </c>
      <c r="B114" s="2" t="s">
        <v>147</v>
      </c>
      <c r="C114" s="2" t="s">
        <v>29</v>
      </c>
      <c r="D114" s="2" t="s">
        <v>30</v>
      </c>
      <c r="E114" s="5"/>
      <c r="F114" s="2" t="s">
        <v>31</v>
      </c>
    </row>
    <row r="115" customFormat="false" ht="15" hidden="false" customHeight="false" outlineLevel="0" collapsed="false">
      <c r="A115" s="2" t="n">
        <v>114</v>
      </c>
      <c r="B115" s="2" t="s">
        <v>148</v>
      </c>
      <c r="C115" s="2" t="s">
        <v>29</v>
      </c>
      <c r="D115" s="2" t="s">
        <v>30</v>
      </c>
      <c r="E115" s="5"/>
      <c r="F115" s="2" t="s">
        <v>31</v>
      </c>
    </row>
    <row r="116" customFormat="false" ht="15" hidden="false" customHeight="false" outlineLevel="0" collapsed="false">
      <c r="A116" s="2" t="n">
        <v>115</v>
      </c>
      <c r="B116" s="2" t="s">
        <v>149</v>
      </c>
      <c r="C116" s="2" t="s">
        <v>29</v>
      </c>
      <c r="D116" s="2" t="s">
        <v>30</v>
      </c>
      <c r="E116" s="5"/>
      <c r="F116" s="2" t="s">
        <v>31</v>
      </c>
    </row>
    <row r="117" customFormat="false" ht="15" hidden="false" customHeight="false" outlineLevel="0" collapsed="false">
      <c r="A117" s="2" t="n">
        <v>116</v>
      </c>
      <c r="B117" s="2" t="s">
        <v>150</v>
      </c>
      <c r="C117" s="2" t="s">
        <v>83</v>
      </c>
      <c r="D117" s="2" t="s">
        <v>84</v>
      </c>
      <c r="E117" s="5"/>
      <c r="F117" s="2" t="s">
        <v>31</v>
      </c>
    </row>
    <row r="118" customFormat="false" ht="15" hidden="false" customHeight="false" outlineLevel="0" collapsed="false">
      <c r="A118" s="2" t="n">
        <v>117</v>
      </c>
      <c r="B118" s="2" t="s">
        <v>151</v>
      </c>
      <c r="C118" s="2" t="s">
        <v>83</v>
      </c>
      <c r="D118" s="2" t="s">
        <v>84</v>
      </c>
      <c r="E118" s="5"/>
      <c r="F118" s="2" t="s">
        <v>31</v>
      </c>
    </row>
    <row r="120" customFormat="false" ht="15" hidden="false" customHeight="false" outlineLevel="0" collapsed="false">
      <c r="B120" s="3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7" min="6" style="0" width="9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1" min="10" style="0" width="10"/>
  </cols>
  <sheetData>
    <row r="1" customFormat="false" ht="15" hidden="false" customHeight="false" outlineLevel="0" collapsed="false">
      <c r="A1" s="4" t="s">
        <v>153</v>
      </c>
      <c r="B1" s="4" t="s">
        <v>154</v>
      </c>
      <c r="C1" s="4" t="s">
        <v>22</v>
      </c>
      <c r="D1" s="4" t="s">
        <v>23</v>
      </c>
      <c r="E1" s="4" t="s">
        <v>24</v>
      </c>
      <c r="F1" s="4" t="s">
        <v>155</v>
      </c>
      <c r="G1" s="4" t="s">
        <v>156</v>
      </c>
      <c r="H1" s="4" t="s">
        <v>157</v>
      </c>
      <c r="I1" s="4" t="s">
        <v>158</v>
      </c>
      <c r="J1" s="4" t="s">
        <v>159</v>
      </c>
      <c r="K1" s="4" t="s">
        <v>160</v>
      </c>
    </row>
    <row r="2" customFormat="false" ht="15" hidden="false" customHeight="false" outlineLevel="0" collapsed="false">
      <c r="A2" s="3" t="s">
        <v>161</v>
      </c>
      <c r="B2" s="3" t="s">
        <v>162</v>
      </c>
      <c r="C2" s="3" t="n">
        <v>1</v>
      </c>
      <c r="D2" s="3" t="s">
        <v>28</v>
      </c>
      <c r="E2" s="3" t="s">
        <v>29</v>
      </c>
      <c r="F2" s="3" t="n">
        <v>0.7</v>
      </c>
      <c r="G2" s="3" t="s">
        <v>163</v>
      </c>
      <c r="H2" s="3" t="s">
        <v>164</v>
      </c>
      <c r="I2" s="3" t="s">
        <v>165</v>
      </c>
      <c r="J2" s="3"/>
      <c r="K2" s="3"/>
    </row>
    <row r="4" customFormat="false" ht="15" hidden="false" customHeight="false" outlineLevel="0" collapsed="false">
      <c r="B4" s="3" t="s">
        <v>166</v>
      </c>
    </row>
    <row r="5" customFormat="false" ht="15" hidden="false" customHeight="false" outlineLevel="0" collapsed="false">
      <c r="B5" s="3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7" min="5" style="0" width="10"/>
    <col collapsed="false" customWidth="true" hidden="false" outlineLevel="0" max="8" min="8" style="0" width="8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1" t="s">
        <v>168</v>
      </c>
      <c r="B1" s="6" t="s">
        <v>169</v>
      </c>
      <c r="C1" s="3" t="s">
        <v>170</v>
      </c>
    </row>
    <row r="3" customFormat="false" ht="15" hidden="false" customHeight="false" outlineLevel="0" collapsed="false">
      <c r="A3" s="4" t="s">
        <v>22</v>
      </c>
      <c r="B3" s="4" t="s">
        <v>23</v>
      </c>
      <c r="C3" s="4" t="s">
        <v>24</v>
      </c>
      <c r="D3" s="4" t="s">
        <v>171</v>
      </c>
      <c r="E3" s="4" t="s">
        <v>162</v>
      </c>
      <c r="F3" s="4" t="s">
        <v>172</v>
      </c>
      <c r="G3" s="4" t="s">
        <v>173</v>
      </c>
      <c r="H3" s="4" t="s">
        <v>174</v>
      </c>
      <c r="I3" s="4" t="s">
        <v>175</v>
      </c>
    </row>
    <row r="4" customFormat="false" ht="15" hidden="false" customHeight="false" outlineLevel="0" collapsed="false">
      <c r="A4" s="2" t="n">
        <v>1</v>
      </c>
      <c r="B4" s="2" t="s">
        <v>28</v>
      </c>
      <c r="C4" s="2" t="s">
        <v>29</v>
      </c>
      <c r="D4" s="7" t="str">
        <f aca="false">IFERROR(IF(INDEX(Counts!$K:$K,MATCH(TEXT($B$1,"yyyy-mm-dd")&amp;"|Morning|"&amp;$A4,Counts!$I:$I,0))="","",INDEX(Counts!$K:$K,MATCH(TEXT($B$1,"yyyy-mm-dd")&amp;"|Morning|"&amp;$A4,Counts!$I:$I,0))),"")</f>
        <v/>
      </c>
      <c r="E4" s="7" t="str">
        <f aca="false">IF(COUNTIFS(Counts!$I:$I,TEXT($B$1,"yyyy-mm-dd")&amp;"|Morning|"&amp;$A4)=0,"",SUMIFS(Counts!$F:$F,Counts!$I:$I,TEXT($B$1,"yyyy-mm-dd")&amp;"|Morning|"&amp;$A4))</f>
        <v/>
      </c>
      <c r="F4" s="7" t="str">
        <f aca="false">IF(COUNTIFS(Counts!$I:$I,TEXT($B$1,"yyyy-mm-dd")&amp;"|Night|"&amp;$A4)=0,"",SUMIFS(Counts!$F:$F,Counts!$I:$I,TEXT($B$1,"yyyy-mm-dd")&amp;"|Night|"&amp;$A4))</f>
        <v/>
      </c>
      <c r="G4" s="7" t="str">
        <f aca="false">IF(OR($E4="",$F4=""),"",$E4-$F4)</f>
        <v/>
      </c>
      <c r="H4" s="7" t="str">
        <f aca="false">IFERROR(IF(INDEX(Items!$E:$E,MATCH($A4,Items!$A:$A,0))="","",INDEX(Items!$E:$E,MATCH($A4,Items!$A:$A,0))),"")</f>
        <v/>
      </c>
      <c r="I4" s="7" t="str">
        <f aca="false">IF($H4="","",IF(IF($F4="",$E4,$F4)="","",IF(IF($F4="",$E4,$F4)&lt;$H4,"ORDER","OK")))</f>
        <v/>
      </c>
    </row>
    <row r="5" customFormat="false" ht="15" hidden="false" customHeight="false" outlineLevel="0" collapsed="false">
      <c r="A5" s="2" t="n">
        <v>2</v>
      </c>
      <c r="B5" s="2" t="s">
        <v>32</v>
      </c>
      <c r="C5" s="2" t="s">
        <v>29</v>
      </c>
      <c r="D5" s="7" t="str">
        <f aca="false">IFERROR(IF(INDEX(Counts!$K:$K,MATCH(TEXT($B$1,"yyyy-mm-dd")&amp;"|Morning|"&amp;$A5,Counts!$I:$I,0))="","",INDEX(Counts!$K:$K,MATCH(TEXT($B$1,"yyyy-mm-dd")&amp;"|Morning|"&amp;$A5,Counts!$I:$I,0))),"")</f>
        <v/>
      </c>
      <c r="E5" s="7" t="str">
        <f aca="false">IF(COUNTIFS(Counts!$I:$I,TEXT($B$1,"yyyy-mm-dd")&amp;"|Morning|"&amp;$A5)=0,"",SUMIFS(Counts!$F:$F,Counts!$I:$I,TEXT($B$1,"yyyy-mm-dd")&amp;"|Morning|"&amp;$A5))</f>
        <v/>
      </c>
      <c r="F5" s="7" t="str">
        <f aca="false">IF(COUNTIFS(Counts!$I:$I,TEXT($B$1,"yyyy-mm-dd")&amp;"|Night|"&amp;$A5)=0,"",SUMIFS(Counts!$F:$F,Counts!$I:$I,TEXT($B$1,"yyyy-mm-dd")&amp;"|Night|"&amp;$A5))</f>
        <v/>
      </c>
      <c r="G5" s="7" t="str">
        <f aca="false">IF(OR($E5="",$F5=""),"",$E5-$F5)</f>
        <v/>
      </c>
      <c r="H5" s="7" t="str">
        <f aca="false">IFERROR(IF(INDEX(Items!$E:$E,MATCH($A5,Items!$A:$A,0))="","",INDEX(Items!$E:$E,MATCH($A5,Items!$A:$A,0))),"")</f>
        <v/>
      </c>
      <c r="I5" s="7" t="str">
        <f aca="false">IF($H5="","",IF(IF($F5="",$E5,$F5)="","",IF(IF($F5="",$E5,$F5)&lt;$H5,"ORDER","OK")))</f>
        <v/>
      </c>
    </row>
    <row r="6" customFormat="false" ht="15" hidden="false" customHeight="false" outlineLevel="0" collapsed="false">
      <c r="A6" s="2" t="n">
        <v>3</v>
      </c>
      <c r="B6" s="2" t="s">
        <v>33</v>
      </c>
      <c r="C6" s="2" t="s">
        <v>29</v>
      </c>
      <c r="D6" s="7" t="str">
        <f aca="false">IFERROR(IF(INDEX(Counts!$K:$K,MATCH(TEXT($B$1,"yyyy-mm-dd")&amp;"|Morning|"&amp;$A6,Counts!$I:$I,0))="","",INDEX(Counts!$K:$K,MATCH(TEXT($B$1,"yyyy-mm-dd")&amp;"|Morning|"&amp;$A6,Counts!$I:$I,0))),"")</f>
        <v/>
      </c>
      <c r="E6" s="7" t="str">
        <f aca="false">IF(COUNTIFS(Counts!$I:$I,TEXT($B$1,"yyyy-mm-dd")&amp;"|Morning|"&amp;$A6)=0,"",SUMIFS(Counts!$F:$F,Counts!$I:$I,TEXT($B$1,"yyyy-mm-dd")&amp;"|Morning|"&amp;$A6))</f>
        <v/>
      </c>
      <c r="F6" s="7" t="str">
        <f aca="false">IF(COUNTIFS(Counts!$I:$I,TEXT($B$1,"yyyy-mm-dd")&amp;"|Night|"&amp;$A6)=0,"",SUMIFS(Counts!$F:$F,Counts!$I:$I,TEXT($B$1,"yyyy-mm-dd")&amp;"|Night|"&amp;$A6))</f>
        <v/>
      </c>
      <c r="G6" s="7" t="str">
        <f aca="false">IF(OR($E6="",$F6=""),"",$E6-$F6)</f>
        <v/>
      </c>
      <c r="H6" s="7" t="str">
        <f aca="false">IFERROR(IF(INDEX(Items!$E:$E,MATCH($A6,Items!$A:$A,0))="","",INDEX(Items!$E:$E,MATCH($A6,Items!$A:$A,0))),"")</f>
        <v/>
      </c>
      <c r="I6" s="7" t="str">
        <f aca="false">IF($H6="","",IF(IF($F6="",$E6,$F6)="","",IF(IF($F6="",$E6,$F6)&lt;$H6,"ORDER","OK")))</f>
        <v/>
      </c>
    </row>
    <row r="7" customFormat="false" ht="15" hidden="false" customHeight="false" outlineLevel="0" collapsed="false">
      <c r="A7" s="2" t="n">
        <v>4</v>
      </c>
      <c r="B7" s="2" t="s">
        <v>34</v>
      </c>
      <c r="C7" s="2" t="s">
        <v>29</v>
      </c>
      <c r="D7" s="7" t="str">
        <f aca="false">IFERROR(IF(INDEX(Counts!$K:$K,MATCH(TEXT($B$1,"yyyy-mm-dd")&amp;"|Morning|"&amp;$A7,Counts!$I:$I,0))="","",INDEX(Counts!$K:$K,MATCH(TEXT($B$1,"yyyy-mm-dd")&amp;"|Morning|"&amp;$A7,Counts!$I:$I,0))),"")</f>
        <v/>
      </c>
      <c r="E7" s="7" t="str">
        <f aca="false">IF(COUNTIFS(Counts!$I:$I,TEXT($B$1,"yyyy-mm-dd")&amp;"|Morning|"&amp;$A7)=0,"",SUMIFS(Counts!$F:$F,Counts!$I:$I,TEXT($B$1,"yyyy-mm-dd")&amp;"|Morning|"&amp;$A7))</f>
        <v/>
      </c>
      <c r="F7" s="7" t="str">
        <f aca="false">IF(COUNTIFS(Counts!$I:$I,TEXT($B$1,"yyyy-mm-dd")&amp;"|Night|"&amp;$A7)=0,"",SUMIFS(Counts!$F:$F,Counts!$I:$I,TEXT($B$1,"yyyy-mm-dd")&amp;"|Night|"&amp;$A7))</f>
        <v/>
      </c>
      <c r="G7" s="7" t="str">
        <f aca="false">IF(OR($E7="",$F7=""),"",$E7-$F7)</f>
        <v/>
      </c>
      <c r="H7" s="7" t="str">
        <f aca="false">IFERROR(IF(INDEX(Items!$E:$E,MATCH($A7,Items!$A:$A,0))="","",INDEX(Items!$E:$E,MATCH($A7,Items!$A:$A,0))),"")</f>
        <v/>
      </c>
      <c r="I7" s="7" t="str">
        <f aca="false">IF($H7="","",IF(IF($F7="",$E7,$F7)="","",IF(IF($F7="",$E7,$F7)&lt;$H7,"ORDER","OK")))</f>
        <v/>
      </c>
    </row>
    <row r="8" customFormat="false" ht="15" hidden="false" customHeight="false" outlineLevel="0" collapsed="false">
      <c r="A8" s="2" t="n">
        <v>5</v>
      </c>
      <c r="B8" s="2" t="s">
        <v>35</v>
      </c>
      <c r="C8" s="2" t="s">
        <v>29</v>
      </c>
      <c r="D8" s="7" t="str">
        <f aca="false">IFERROR(IF(INDEX(Counts!$K:$K,MATCH(TEXT($B$1,"yyyy-mm-dd")&amp;"|Morning|"&amp;$A8,Counts!$I:$I,0))="","",INDEX(Counts!$K:$K,MATCH(TEXT($B$1,"yyyy-mm-dd")&amp;"|Morning|"&amp;$A8,Counts!$I:$I,0))),"")</f>
        <v/>
      </c>
      <c r="E8" s="7" t="str">
        <f aca="false">IF(COUNTIFS(Counts!$I:$I,TEXT($B$1,"yyyy-mm-dd")&amp;"|Morning|"&amp;$A8)=0,"",SUMIFS(Counts!$F:$F,Counts!$I:$I,TEXT($B$1,"yyyy-mm-dd")&amp;"|Morning|"&amp;$A8))</f>
        <v/>
      </c>
      <c r="F8" s="7" t="str">
        <f aca="false">IF(COUNTIFS(Counts!$I:$I,TEXT($B$1,"yyyy-mm-dd")&amp;"|Night|"&amp;$A8)=0,"",SUMIFS(Counts!$F:$F,Counts!$I:$I,TEXT($B$1,"yyyy-mm-dd")&amp;"|Night|"&amp;$A8))</f>
        <v/>
      </c>
      <c r="G8" s="7" t="str">
        <f aca="false">IF(OR($E8="",$F8=""),"",$E8-$F8)</f>
        <v/>
      </c>
      <c r="H8" s="7" t="str">
        <f aca="false">IFERROR(IF(INDEX(Items!$E:$E,MATCH($A8,Items!$A:$A,0))="","",INDEX(Items!$E:$E,MATCH($A8,Items!$A:$A,0))),"")</f>
        <v/>
      </c>
      <c r="I8" s="7" t="str">
        <f aca="false">IF($H8="","",IF(IF($F8="",$E8,$F8)="","",IF(IF($F8="",$E8,$F8)&lt;$H8,"ORDER","OK")))</f>
        <v/>
      </c>
    </row>
    <row r="9" customFormat="false" ht="15" hidden="false" customHeight="false" outlineLevel="0" collapsed="false">
      <c r="A9" s="2" t="n">
        <v>6</v>
      </c>
      <c r="B9" s="2" t="s">
        <v>36</v>
      </c>
      <c r="C9" s="2" t="s">
        <v>29</v>
      </c>
      <c r="D9" s="7" t="str">
        <f aca="false">IFERROR(IF(INDEX(Counts!$K:$K,MATCH(TEXT($B$1,"yyyy-mm-dd")&amp;"|Morning|"&amp;$A9,Counts!$I:$I,0))="","",INDEX(Counts!$K:$K,MATCH(TEXT($B$1,"yyyy-mm-dd")&amp;"|Morning|"&amp;$A9,Counts!$I:$I,0))),"")</f>
        <v/>
      </c>
      <c r="E9" s="7" t="str">
        <f aca="false">IF(COUNTIFS(Counts!$I:$I,TEXT($B$1,"yyyy-mm-dd")&amp;"|Morning|"&amp;$A9)=0,"",SUMIFS(Counts!$F:$F,Counts!$I:$I,TEXT($B$1,"yyyy-mm-dd")&amp;"|Morning|"&amp;$A9))</f>
        <v/>
      </c>
      <c r="F9" s="7" t="str">
        <f aca="false">IF(COUNTIFS(Counts!$I:$I,TEXT($B$1,"yyyy-mm-dd")&amp;"|Night|"&amp;$A9)=0,"",SUMIFS(Counts!$F:$F,Counts!$I:$I,TEXT($B$1,"yyyy-mm-dd")&amp;"|Night|"&amp;$A9))</f>
        <v/>
      </c>
      <c r="G9" s="7" t="str">
        <f aca="false">IF(OR($E9="",$F9=""),"",$E9-$F9)</f>
        <v/>
      </c>
      <c r="H9" s="7" t="str">
        <f aca="false">IFERROR(IF(INDEX(Items!$E:$E,MATCH($A9,Items!$A:$A,0))="","",INDEX(Items!$E:$E,MATCH($A9,Items!$A:$A,0))),"")</f>
        <v/>
      </c>
      <c r="I9" s="7" t="str">
        <f aca="false">IF($H9="","",IF(IF($F9="",$E9,$F9)="","",IF(IF($F9="",$E9,$F9)&lt;$H9,"ORDER","OK")))</f>
        <v/>
      </c>
    </row>
    <row r="10" customFormat="false" ht="15" hidden="false" customHeight="false" outlineLevel="0" collapsed="false">
      <c r="A10" s="2" t="n">
        <v>7</v>
      </c>
      <c r="B10" s="2" t="s">
        <v>37</v>
      </c>
      <c r="C10" s="2" t="s">
        <v>29</v>
      </c>
      <c r="D10" s="7" t="str">
        <f aca="false">IFERROR(IF(INDEX(Counts!$K:$K,MATCH(TEXT($B$1,"yyyy-mm-dd")&amp;"|Morning|"&amp;$A10,Counts!$I:$I,0))="","",INDEX(Counts!$K:$K,MATCH(TEXT($B$1,"yyyy-mm-dd")&amp;"|Morning|"&amp;$A10,Counts!$I:$I,0))),"")</f>
        <v/>
      </c>
      <c r="E10" s="7" t="str">
        <f aca="false">IF(COUNTIFS(Counts!$I:$I,TEXT($B$1,"yyyy-mm-dd")&amp;"|Morning|"&amp;$A10)=0,"",SUMIFS(Counts!$F:$F,Counts!$I:$I,TEXT($B$1,"yyyy-mm-dd")&amp;"|Morning|"&amp;$A10))</f>
        <v/>
      </c>
      <c r="F10" s="7" t="str">
        <f aca="false">IF(COUNTIFS(Counts!$I:$I,TEXT($B$1,"yyyy-mm-dd")&amp;"|Night|"&amp;$A10)=0,"",SUMIFS(Counts!$F:$F,Counts!$I:$I,TEXT($B$1,"yyyy-mm-dd")&amp;"|Night|"&amp;$A10))</f>
        <v/>
      </c>
      <c r="G10" s="7" t="str">
        <f aca="false">IF(OR($E10="",$F10=""),"",$E10-$F10)</f>
        <v/>
      </c>
      <c r="H10" s="7" t="str">
        <f aca="false">IFERROR(IF(INDEX(Items!$E:$E,MATCH($A10,Items!$A:$A,0))="","",INDEX(Items!$E:$E,MATCH($A10,Items!$A:$A,0))),"")</f>
        <v/>
      </c>
      <c r="I10" s="7" t="str">
        <f aca="false">IF($H10="","",IF(IF($F10="",$E10,$F10)="","",IF(IF($F10="",$E10,$F10)&lt;$H10,"ORDER","OK")))</f>
        <v/>
      </c>
    </row>
    <row r="11" customFormat="false" ht="15" hidden="false" customHeight="false" outlineLevel="0" collapsed="false">
      <c r="A11" s="2" t="n">
        <v>8</v>
      </c>
      <c r="B11" s="2" t="s">
        <v>38</v>
      </c>
      <c r="C11" s="2" t="s">
        <v>29</v>
      </c>
      <c r="D11" s="7" t="str">
        <f aca="false">IFERROR(IF(INDEX(Counts!$K:$K,MATCH(TEXT($B$1,"yyyy-mm-dd")&amp;"|Morning|"&amp;$A11,Counts!$I:$I,0))="","",INDEX(Counts!$K:$K,MATCH(TEXT($B$1,"yyyy-mm-dd")&amp;"|Morning|"&amp;$A11,Counts!$I:$I,0))),"")</f>
        <v/>
      </c>
      <c r="E11" s="7" t="str">
        <f aca="false">IF(COUNTIFS(Counts!$I:$I,TEXT($B$1,"yyyy-mm-dd")&amp;"|Morning|"&amp;$A11)=0,"",SUMIFS(Counts!$F:$F,Counts!$I:$I,TEXT($B$1,"yyyy-mm-dd")&amp;"|Morning|"&amp;$A11))</f>
        <v/>
      </c>
      <c r="F11" s="7" t="str">
        <f aca="false">IF(COUNTIFS(Counts!$I:$I,TEXT($B$1,"yyyy-mm-dd")&amp;"|Night|"&amp;$A11)=0,"",SUMIFS(Counts!$F:$F,Counts!$I:$I,TEXT($B$1,"yyyy-mm-dd")&amp;"|Night|"&amp;$A11))</f>
        <v/>
      </c>
      <c r="G11" s="7" t="str">
        <f aca="false">IF(OR($E11="",$F11=""),"",$E11-$F11)</f>
        <v/>
      </c>
      <c r="H11" s="7" t="str">
        <f aca="false">IFERROR(IF(INDEX(Items!$E:$E,MATCH($A11,Items!$A:$A,0))="","",INDEX(Items!$E:$E,MATCH($A11,Items!$A:$A,0))),"")</f>
        <v/>
      </c>
      <c r="I11" s="7" t="str">
        <f aca="false">IF($H11="","",IF(IF($F11="",$E11,$F11)="","",IF(IF($F11="",$E11,$F11)&lt;$H11,"ORDER","OK")))</f>
        <v/>
      </c>
    </row>
    <row r="12" customFormat="false" ht="15" hidden="false" customHeight="false" outlineLevel="0" collapsed="false">
      <c r="A12" s="2" t="n">
        <v>9</v>
      </c>
      <c r="B12" s="2" t="s">
        <v>39</v>
      </c>
      <c r="C12" s="2" t="s">
        <v>29</v>
      </c>
      <c r="D12" s="7" t="str">
        <f aca="false">IFERROR(IF(INDEX(Counts!$K:$K,MATCH(TEXT($B$1,"yyyy-mm-dd")&amp;"|Morning|"&amp;$A12,Counts!$I:$I,0))="","",INDEX(Counts!$K:$K,MATCH(TEXT($B$1,"yyyy-mm-dd")&amp;"|Morning|"&amp;$A12,Counts!$I:$I,0))),"")</f>
        <v/>
      </c>
      <c r="E12" s="7" t="str">
        <f aca="false">IF(COUNTIFS(Counts!$I:$I,TEXT($B$1,"yyyy-mm-dd")&amp;"|Morning|"&amp;$A12)=0,"",SUMIFS(Counts!$F:$F,Counts!$I:$I,TEXT($B$1,"yyyy-mm-dd")&amp;"|Morning|"&amp;$A12))</f>
        <v/>
      </c>
      <c r="F12" s="7" t="str">
        <f aca="false">IF(COUNTIFS(Counts!$I:$I,TEXT($B$1,"yyyy-mm-dd")&amp;"|Night|"&amp;$A12)=0,"",SUMIFS(Counts!$F:$F,Counts!$I:$I,TEXT($B$1,"yyyy-mm-dd")&amp;"|Night|"&amp;$A12))</f>
        <v/>
      </c>
      <c r="G12" s="7" t="str">
        <f aca="false">IF(OR($E12="",$F12=""),"",$E12-$F12)</f>
        <v/>
      </c>
      <c r="H12" s="7" t="str">
        <f aca="false">IFERROR(IF(INDEX(Items!$E:$E,MATCH($A12,Items!$A:$A,0))="","",INDEX(Items!$E:$E,MATCH($A12,Items!$A:$A,0))),"")</f>
        <v/>
      </c>
      <c r="I12" s="7" t="str">
        <f aca="false">IF($H12="","",IF(IF($F12="",$E12,$F12)="","",IF(IF($F12="",$E12,$F12)&lt;$H12,"ORDER","OK")))</f>
        <v/>
      </c>
    </row>
    <row r="13" customFormat="false" ht="15" hidden="false" customHeight="false" outlineLevel="0" collapsed="false">
      <c r="A13" s="2" t="n">
        <v>10</v>
      </c>
      <c r="B13" s="2" t="s">
        <v>38</v>
      </c>
      <c r="C13" s="2" t="s">
        <v>29</v>
      </c>
      <c r="D13" s="7" t="str">
        <f aca="false">IFERROR(IF(INDEX(Counts!$K:$K,MATCH(TEXT($B$1,"yyyy-mm-dd")&amp;"|Morning|"&amp;$A13,Counts!$I:$I,0))="","",INDEX(Counts!$K:$K,MATCH(TEXT($B$1,"yyyy-mm-dd")&amp;"|Morning|"&amp;$A13,Counts!$I:$I,0))),"")</f>
        <v/>
      </c>
      <c r="E13" s="7" t="str">
        <f aca="false">IF(COUNTIFS(Counts!$I:$I,TEXT($B$1,"yyyy-mm-dd")&amp;"|Morning|"&amp;$A13)=0,"",SUMIFS(Counts!$F:$F,Counts!$I:$I,TEXT($B$1,"yyyy-mm-dd")&amp;"|Morning|"&amp;$A13))</f>
        <v/>
      </c>
      <c r="F13" s="7" t="str">
        <f aca="false">IF(COUNTIFS(Counts!$I:$I,TEXT($B$1,"yyyy-mm-dd")&amp;"|Night|"&amp;$A13)=0,"",SUMIFS(Counts!$F:$F,Counts!$I:$I,TEXT($B$1,"yyyy-mm-dd")&amp;"|Night|"&amp;$A13))</f>
        <v/>
      </c>
      <c r="G13" s="7" t="str">
        <f aca="false">IF(OR($E13="",$F13=""),"",$E13-$F13)</f>
        <v/>
      </c>
      <c r="H13" s="7" t="str">
        <f aca="false">IFERROR(IF(INDEX(Items!$E:$E,MATCH($A13,Items!$A:$A,0))="","",INDEX(Items!$E:$E,MATCH($A13,Items!$A:$A,0))),"")</f>
        <v/>
      </c>
      <c r="I13" s="7" t="str">
        <f aca="false">IF($H13="","",IF(IF($F13="",$E13,$F13)="","",IF(IF($F13="",$E13,$F13)&lt;$H13,"ORDER","OK")))</f>
        <v/>
      </c>
    </row>
    <row r="14" customFormat="false" ht="15" hidden="false" customHeight="false" outlineLevel="0" collapsed="false">
      <c r="A14" s="2" t="n">
        <v>11</v>
      </c>
      <c r="B14" s="2" t="s">
        <v>40</v>
      </c>
      <c r="C14" s="2" t="s">
        <v>29</v>
      </c>
      <c r="D14" s="7" t="str">
        <f aca="false">IFERROR(IF(INDEX(Counts!$K:$K,MATCH(TEXT($B$1,"yyyy-mm-dd")&amp;"|Morning|"&amp;$A14,Counts!$I:$I,0))="","",INDEX(Counts!$K:$K,MATCH(TEXT($B$1,"yyyy-mm-dd")&amp;"|Morning|"&amp;$A14,Counts!$I:$I,0))),"")</f>
        <v/>
      </c>
      <c r="E14" s="7" t="str">
        <f aca="false">IF(COUNTIFS(Counts!$I:$I,TEXT($B$1,"yyyy-mm-dd")&amp;"|Morning|"&amp;$A14)=0,"",SUMIFS(Counts!$F:$F,Counts!$I:$I,TEXT($B$1,"yyyy-mm-dd")&amp;"|Morning|"&amp;$A14))</f>
        <v/>
      </c>
      <c r="F14" s="7" t="str">
        <f aca="false">IF(COUNTIFS(Counts!$I:$I,TEXT($B$1,"yyyy-mm-dd")&amp;"|Night|"&amp;$A14)=0,"",SUMIFS(Counts!$F:$F,Counts!$I:$I,TEXT($B$1,"yyyy-mm-dd")&amp;"|Night|"&amp;$A14))</f>
        <v/>
      </c>
      <c r="G14" s="7" t="str">
        <f aca="false">IF(OR($E14="",$F14=""),"",$E14-$F14)</f>
        <v/>
      </c>
      <c r="H14" s="7" t="str">
        <f aca="false">IFERROR(IF(INDEX(Items!$E:$E,MATCH($A14,Items!$A:$A,0))="","",INDEX(Items!$E:$E,MATCH($A14,Items!$A:$A,0))),"")</f>
        <v/>
      </c>
      <c r="I14" s="7" t="str">
        <f aca="false">IF($H14="","",IF(IF($F14="",$E14,$F14)="","",IF(IF($F14="",$E14,$F14)&lt;$H14,"ORDER","OK")))</f>
        <v/>
      </c>
    </row>
    <row r="15" customFormat="false" ht="15" hidden="false" customHeight="false" outlineLevel="0" collapsed="false">
      <c r="A15" s="2" t="n">
        <v>12</v>
      </c>
      <c r="B15" s="2" t="s">
        <v>41</v>
      </c>
      <c r="C15" s="2" t="s">
        <v>29</v>
      </c>
      <c r="D15" s="7" t="str">
        <f aca="false">IFERROR(IF(INDEX(Counts!$K:$K,MATCH(TEXT($B$1,"yyyy-mm-dd")&amp;"|Morning|"&amp;$A15,Counts!$I:$I,0))="","",INDEX(Counts!$K:$K,MATCH(TEXT($B$1,"yyyy-mm-dd")&amp;"|Morning|"&amp;$A15,Counts!$I:$I,0))),"")</f>
        <v/>
      </c>
      <c r="E15" s="7" t="str">
        <f aca="false">IF(COUNTIFS(Counts!$I:$I,TEXT($B$1,"yyyy-mm-dd")&amp;"|Morning|"&amp;$A15)=0,"",SUMIFS(Counts!$F:$F,Counts!$I:$I,TEXT($B$1,"yyyy-mm-dd")&amp;"|Morning|"&amp;$A15))</f>
        <v/>
      </c>
      <c r="F15" s="7" t="str">
        <f aca="false">IF(COUNTIFS(Counts!$I:$I,TEXT($B$1,"yyyy-mm-dd")&amp;"|Night|"&amp;$A15)=0,"",SUMIFS(Counts!$F:$F,Counts!$I:$I,TEXT($B$1,"yyyy-mm-dd")&amp;"|Night|"&amp;$A15))</f>
        <v/>
      </c>
      <c r="G15" s="7" t="str">
        <f aca="false">IF(OR($E15="",$F15=""),"",$E15-$F15)</f>
        <v/>
      </c>
      <c r="H15" s="7" t="str">
        <f aca="false">IFERROR(IF(INDEX(Items!$E:$E,MATCH($A15,Items!$A:$A,0))="","",INDEX(Items!$E:$E,MATCH($A15,Items!$A:$A,0))),"")</f>
        <v/>
      </c>
      <c r="I15" s="7" t="str">
        <f aca="false">IF($H15="","",IF(IF($F15="",$E15,$F15)="","",IF(IF($F15="",$E15,$F15)&lt;$H15,"ORDER","OK")))</f>
        <v/>
      </c>
    </row>
    <row r="16" customFormat="false" ht="15" hidden="false" customHeight="false" outlineLevel="0" collapsed="false">
      <c r="A16" s="2" t="n">
        <v>13</v>
      </c>
      <c r="B16" s="2" t="s">
        <v>42</v>
      </c>
      <c r="C16" s="2" t="s">
        <v>29</v>
      </c>
      <c r="D16" s="7" t="str">
        <f aca="false">IFERROR(IF(INDEX(Counts!$K:$K,MATCH(TEXT($B$1,"yyyy-mm-dd")&amp;"|Morning|"&amp;$A16,Counts!$I:$I,0))="","",INDEX(Counts!$K:$K,MATCH(TEXT($B$1,"yyyy-mm-dd")&amp;"|Morning|"&amp;$A16,Counts!$I:$I,0))),"")</f>
        <v/>
      </c>
      <c r="E16" s="7" t="str">
        <f aca="false">IF(COUNTIFS(Counts!$I:$I,TEXT($B$1,"yyyy-mm-dd")&amp;"|Morning|"&amp;$A16)=0,"",SUMIFS(Counts!$F:$F,Counts!$I:$I,TEXT($B$1,"yyyy-mm-dd")&amp;"|Morning|"&amp;$A16))</f>
        <v/>
      </c>
      <c r="F16" s="7" t="str">
        <f aca="false">IF(COUNTIFS(Counts!$I:$I,TEXT($B$1,"yyyy-mm-dd")&amp;"|Night|"&amp;$A16)=0,"",SUMIFS(Counts!$F:$F,Counts!$I:$I,TEXT($B$1,"yyyy-mm-dd")&amp;"|Night|"&amp;$A16))</f>
        <v/>
      </c>
      <c r="G16" s="7" t="str">
        <f aca="false">IF(OR($E16="",$F16=""),"",$E16-$F16)</f>
        <v/>
      </c>
      <c r="H16" s="7" t="str">
        <f aca="false">IFERROR(IF(INDEX(Items!$E:$E,MATCH($A16,Items!$A:$A,0))="","",INDEX(Items!$E:$E,MATCH($A16,Items!$A:$A,0))),"")</f>
        <v/>
      </c>
      <c r="I16" s="7" t="str">
        <f aca="false">IF($H16="","",IF(IF($F16="",$E16,$F16)="","",IF(IF($F16="",$E16,$F16)&lt;$H16,"ORDER","OK")))</f>
        <v/>
      </c>
    </row>
    <row r="17" customFormat="false" ht="15" hidden="false" customHeight="false" outlineLevel="0" collapsed="false">
      <c r="A17" s="2" t="n">
        <v>14</v>
      </c>
      <c r="B17" s="2" t="s">
        <v>43</v>
      </c>
      <c r="C17" s="2" t="s">
        <v>29</v>
      </c>
      <c r="D17" s="7" t="str">
        <f aca="false">IFERROR(IF(INDEX(Counts!$K:$K,MATCH(TEXT($B$1,"yyyy-mm-dd")&amp;"|Morning|"&amp;$A17,Counts!$I:$I,0))="","",INDEX(Counts!$K:$K,MATCH(TEXT($B$1,"yyyy-mm-dd")&amp;"|Morning|"&amp;$A17,Counts!$I:$I,0))),"")</f>
        <v/>
      </c>
      <c r="E17" s="7" t="str">
        <f aca="false">IF(COUNTIFS(Counts!$I:$I,TEXT($B$1,"yyyy-mm-dd")&amp;"|Morning|"&amp;$A17)=0,"",SUMIFS(Counts!$F:$F,Counts!$I:$I,TEXT($B$1,"yyyy-mm-dd")&amp;"|Morning|"&amp;$A17))</f>
        <v/>
      </c>
      <c r="F17" s="7" t="str">
        <f aca="false">IF(COUNTIFS(Counts!$I:$I,TEXT($B$1,"yyyy-mm-dd")&amp;"|Night|"&amp;$A17)=0,"",SUMIFS(Counts!$F:$F,Counts!$I:$I,TEXT($B$1,"yyyy-mm-dd")&amp;"|Night|"&amp;$A17))</f>
        <v/>
      </c>
      <c r="G17" s="7" t="str">
        <f aca="false">IF(OR($E17="",$F17=""),"",$E17-$F17)</f>
        <v/>
      </c>
      <c r="H17" s="7" t="str">
        <f aca="false">IFERROR(IF(INDEX(Items!$E:$E,MATCH($A17,Items!$A:$A,0))="","",INDEX(Items!$E:$E,MATCH($A17,Items!$A:$A,0))),"")</f>
        <v/>
      </c>
      <c r="I17" s="7" t="str">
        <f aca="false">IF($H17="","",IF(IF($F17="",$E17,$F17)="","",IF(IF($F17="",$E17,$F17)&lt;$H17,"ORDER","OK")))</f>
        <v/>
      </c>
    </row>
    <row r="18" customFormat="false" ht="15" hidden="false" customHeight="false" outlineLevel="0" collapsed="false">
      <c r="A18" s="2" t="n">
        <v>15</v>
      </c>
      <c r="B18" s="2" t="s">
        <v>44</v>
      </c>
      <c r="C18" s="2" t="s">
        <v>29</v>
      </c>
      <c r="D18" s="7" t="str">
        <f aca="false">IFERROR(IF(INDEX(Counts!$K:$K,MATCH(TEXT($B$1,"yyyy-mm-dd")&amp;"|Morning|"&amp;$A18,Counts!$I:$I,0))="","",INDEX(Counts!$K:$K,MATCH(TEXT($B$1,"yyyy-mm-dd")&amp;"|Morning|"&amp;$A18,Counts!$I:$I,0))),"")</f>
        <v/>
      </c>
      <c r="E18" s="7" t="str">
        <f aca="false">IF(COUNTIFS(Counts!$I:$I,TEXT($B$1,"yyyy-mm-dd")&amp;"|Morning|"&amp;$A18)=0,"",SUMIFS(Counts!$F:$F,Counts!$I:$I,TEXT($B$1,"yyyy-mm-dd")&amp;"|Morning|"&amp;$A18))</f>
        <v/>
      </c>
      <c r="F18" s="7" t="str">
        <f aca="false">IF(COUNTIFS(Counts!$I:$I,TEXT($B$1,"yyyy-mm-dd")&amp;"|Night|"&amp;$A18)=0,"",SUMIFS(Counts!$F:$F,Counts!$I:$I,TEXT($B$1,"yyyy-mm-dd")&amp;"|Night|"&amp;$A18))</f>
        <v/>
      </c>
      <c r="G18" s="7" t="str">
        <f aca="false">IF(OR($E18="",$F18=""),"",$E18-$F18)</f>
        <v/>
      </c>
      <c r="H18" s="7" t="str">
        <f aca="false">IFERROR(IF(INDEX(Items!$E:$E,MATCH($A18,Items!$A:$A,0))="","",INDEX(Items!$E:$E,MATCH($A18,Items!$A:$A,0))),"")</f>
        <v/>
      </c>
      <c r="I18" s="7" t="str">
        <f aca="false">IF($H18="","",IF(IF($F18="",$E18,$F18)="","",IF(IF($F18="",$E18,$F18)&lt;$H18,"ORDER","OK")))</f>
        <v/>
      </c>
    </row>
    <row r="19" customFormat="false" ht="15" hidden="false" customHeight="false" outlineLevel="0" collapsed="false">
      <c r="A19" s="2" t="n">
        <v>16</v>
      </c>
      <c r="B19" s="2" t="s">
        <v>45</v>
      </c>
      <c r="C19" s="2" t="s">
        <v>29</v>
      </c>
      <c r="D19" s="7" t="str">
        <f aca="false">IFERROR(IF(INDEX(Counts!$K:$K,MATCH(TEXT($B$1,"yyyy-mm-dd")&amp;"|Morning|"&amp;$A19,Counts!$I:$I,0))="","",INDEX(Counts!$K:$K,MATCH(TEXT($B$1,"yyyy-mm-dd")&amp;"|Morning|"&amp;$A19,Counts!$I:$I,0))),"")</f>
        <v/>
      </c>
      <c r="E19" s="7" t="str">
        <f aca="false">IF(COUNTIFS(Counts!$I:$I,TEXT($B$1,"yyyy-mm-dd")&amp;"|Morning|"&amp;$A19)=0,"",SUMIFS(Counts!$F:$F,Counts!$I:$I,TEXT($B$1,"yyyy-mm-dd")&amp;"|Morning|"&amp;$A19))</f>
        <v/>
      </c>
      <c r="F19" s="7" t="str">
        <f aca="false">IF(COUNTIFS(Counts!$I:$I,TEXT($B$1,"yyyy-mm-dd")&amp;"|Night|"&amp;$A19)=0,"",SUMIFS(Counts!$F:$F,Counts!$I:$I,TEXT($B$1,"yyyy-mm-dd")&amp;"|Night|"&amp;$A19))</f>
        <v/>
      </c>
      <c r="G19" s="7" t="str">
        <f aca="false">IF(OR($E19="",$F19=""),"",$E19-$F19)</f>
        <v/>
      </c>
      <c r="H19" s="7" t="str">
        <f aca="false">IFERROR(IF(INDEX(Items!$E:$E,MATCH($A19,Items!$A:$A,0))="","",INDEX(Items!$E:$E,MATCH($A19,Items!$A:$A,0))),"")</f>
        <v/>
      </c>
      <c r="I19" s="7" t="str">
        <f aca="false">IF($H19="","",IF(IF($F19="",$E19,$F19)="","",IF(IF($F19="",$E19,$F19)&lt;$H19,"ORDER","OK")))</f>
        <v/>
      </c>
    </row>
    <row r="20" customFormat="false" ht="15" hidden="false" customHeight="false" outlineLevel="0" collapsed="false">
      <c r="A20" s="2" t="n">
        <v>17</v>
      </c>
      <c r="B20" s="2" t="s">
        <v>46</v>
      </c>
      <c r="C20" s="2" t="s">
        <v>29</v>
      </c>
      <c r="D20" s="7" t="str">
        <f aca="false">IFERROR(IF(INDEX(Counts!$K:$K,MATCH(TEXT($B$1,"yyyy-mm-dd")&amp;"|Morning|"&amp;$A20,Counts!$I:$I,0))="","",INDEX(Counts!$K:$K,MATCH(TEXT($B$1,"yyyy-mm-dd")&amp;"|Morning|"&amp;$A20,Counts!$I:$I,0))),"")</f>
        <v/>
      </c>
      <c r="E20" s="7" t="str">
        <f aca="false">IF(COUNTIFS(Counts!$I:$I,TEXT($B$1,"yyyy-mm-dd")&amp;"|Morning|"&amp;$A20)=0,"",SUMIFS(Counts!$F:$F,Counts!$I:$I,TEXT($B$1,"yyyy-mm-dd")&amp;"|Morning|"&amp;$A20))</f>
        <v/>
      </c>
      <c r="F20" s="7" t="str">
        <f aca="false">IF(COUNTIFS(Counts!$I:$I,TEXT($B$1,"yyyy-mm-dd")&amp;"|Night|"&amp;$A20)=0,"",SUMIFS(Counts!$F:$F,Counts!$I:$I,TEXT($B$1,"yyyy-mm-dd")&amp;"|Night|"&amp;$A20))</f>
        <v/>
      </c>
      <c r="G20" s="7" t="str">
        <f aca="false">IF(OR($E20="",$F20=""),"",$E20-$F20)</f>
        <v/>
      </c>
      <c r="H20" s="7" t="str">
        <f aca="false">IFERROR(IF(INDEX(Items!$E:$E,MATCH($A20,Items!$A:$A,0))="","",INDEX(Items!$E:$E,MATCH($A20,Items!$A:$A,0))),"")</f>
        <v/>
      </c>
      <c r="I20" s="7" t="str">
        <f aca="false">IF($H20="","",IF(IF($F20="",$E20,$F20)="","",IF(IF($F20="",$E20,$F20)&lt;$H20,"ORDER","OK")))</f>
        <v/>
      </c>
    </row>
    <row r="21" customFormat="false" ht="15" hidden="false" customHeight="false" outlineLevel="0" collapsed="false">
      <c r="A21" s="2" t="n">
        <v>18</v>
      </c>
      <c r="B21" s="2" t="s">
        <v>47</v>
      </c>
      <c r="C21" s="2" t="s">
        <v>29</v>
      </c>
      <c r="D21" s="7" t="str">
        <f aca="false">IFERROR(IF(INDEX(Counts!$K:$K,MATCH(TEXT($B$1,"yyyy-mm-dd")&amp;"|Morning|"&amp;$A21,Counts!$I:$I,0))="","",INDEX(Counts!$K:$K,MATCH(TEXT($B$1,"yyyy-mm-dd")&amp;"|Morning|"&amp;$A21,Counts!$I:$I,0))),"")</f>
        <v/>
      </c>
      <c r="E21" s="7" t="str">
        <f aca="false">IF(COUNTIFS(Counts!$I:$I,TEXT($B$1,"yyyy-mm-dd")&amp;"|Morning|"&amp;$A21)=0,"",SUMIFS(Counts!$F:$F,Counts!$I:$I,TEXT($B$1,"yyyy-mm-dd")&amp;"|Morning|"&amp;$A21))</f>
        <v/>
      </c>
      <c r="F21" s="7" t="str">
        <f aca="false">IF(COUNTIFS(Counts!$I:$I,TEXT($B$1,"yyyy-mm-dd")&amp;"|Night|"&amp;$A21)=0,"",SUMIFS(Counts!$F:$F,Counts!$I:$I,TEXT($B$1,"yyyy-mm-dd")&amp;"|Night|"&amp;$A21))</f>
        <v/>
      </c>
      <c r="G21" s="7" t="str">
        <f aca="false">IF(OR($E21="",$F21=""),"",$E21-$F21)</f>
        <v/>
      </c>
      <c r="H21" s="7" t="str">
        <f aca="false">IFERROR(IF(INDEX(Items!$E:$E,MATCH($A21,Items!$A:$A,0))="","",INDEX(Items!$E:$E,MATCH($A21,Items!$A:$A,0))),"")</f>
        <v/>
      </c>
      <c r="I21" s="7" t="str">
        <f aca="false">IF($H21="","",IF(IF($F21="",$E21,$F21)="","",IF(IF($F21="",$E21,$F21)&lt;$H21,"ORDER","OK")))</f>
        <v/>
      </c>
    </row>
    <row r="22" customFormat="false" ht="15" hidden="false" customHeight="false" outlineLevel="0" collapsed="false">
      <c r="A22" s="2" t="n">
        <v>19</v>
      </c>
      <c r="B22" s="2" t="s">
        <v>48</v>
      </c>
      <c r="C22" s="2" t="s">
        <v>29</v>
      </c>
      <c r="D22" s="7" t="str">
        <f aca="false">IFERROR(IF(INDEX(Counts!$K:$K,MATCH(TEXT($B$1,"yyyy-mm-dd")&amp;"|Morning|"&amp;$A22,Counts!$I:$I,0))="","",INDEX(Counts!$K:$K,MATCH(TEXT($B$1,"yyyy-mm-dd")&amp;"|Morning|"&amp;$A22,Counts!$I:$I,0))),"")</f>
        <v/>
      </c>
      <c r="E22" s="7" t="str">
        <f aca="false">IF(COUNTIFS(Counts!$I:$I,TEXT($B$1,"yyyy-mm-dd")&amp;"|Morning|"&amp;$A22)=0,"",SUMIFS(Counts!$F:$F,Counts!$I:$I,TEXT($B$1,"yyyy-mm-dd")&amp;"|Morning|"&amp;$A22))</f>
        <v/>
      </c>
      <c r="F22" s="7" t="str">
        <f aca="false">IF(COUNTIFS(Counts!$I:$I,TEXT($B$1,"yyyy-mm-dd")&amp;"|Night|"&amp;$A22)=0,"",SUMIFS(Counts!$F:$F,Counts!$I:$I,TEXT($B$1,"yyyy-mm-dd")&amp;"|Night|"&amp;$A22))</f>
        <v/>
      </c>
      <c r="G22" s="7" t="str">
        <f aca="false">IF(OR($E22="",$F22=""),"",$E22-$F22)</f>
        <v/>
      </c>
      <c r="H22" s="7" t="str">
        <f aca="false">IFERROR(IF(INDEX(Items!$E:$E,MATCH($A22,Items!$A:$A,0))="","",INDEX(Items!$E:$E,MATCH($A22,Items!$A:$A,0))),"")</f>
        <v/>
      </c>
      <c r="I22" s="7" t="str">
        <f aca="false">IF($H22="","",IF(IF($F22="",$E22,$F22)="","",IF(IF($F22="",$E22,$F22)&lt;$H22,"ORDER","OK")))</f>
        <v/>
      </c>
    </row>
    <row r="23" customFormat="false" ht="15" hidden="false" customHeight="false" outlineLevel="0" collapsed="false">
      <c r="A23" s="2" t="n">
        <v>20</v>
      </c>
      <c r="B23" s="2" t="s">
        <v>49</v>
      </c>
      <c r="C23" s="2" t="s">
        <v>29</v>
      </c>
      <c r="D23" s="7" t="str">
        <f aca="false">IFERROR(IF(INDEX(Counts!$K:$K,MATCH(TEXT($B$1,"yyyy-mm-dd")&amp;"|Morning|"&amp;$A23,Counts!$I:$I,0))="","",INDEX(Counts!$K:$K,MATCH(TEXT($B$1,"yyyy-mm-dd")&amp;"|Morning|"&amp;$A23,Counts!$I:$I,0))),"")</f>
        <v/>
      </c>
      <c r="E23" s="7" t="str">
        <f aca="false">IF(COUNTIFS(Counts!$I:$I,TEXT($B$1,"yyyy-mm-dd")&amp;"|Morning|"&amp;$A23)=0,"",SUMIFS(Counts!$F:$F,Counts!$I:$I,TEXT($B$1,"yyyy-mm-dd")&amp;"|Morning|"&amp;$A23))</f>
        <v/>
      </c>
      <c r="F23" s="7" t="str">
        <f aca="false">IF(COUNTIFS(Counts!$I:$I,TEXT($B$1,"yyyy-mm-dd")&amp;"|Night|"&amp;$A23)=0,"",SUMIFS(Counts!$F:$F,Counts!$I:$I,TEXT($B$1,"yyyy-mm-dd")&amp;"|Night|"&amp;$A23))</f>
        <v/>
      </c>
      <c r="G23" s="7" t="str">
        <f aca="false">IF(OR($E23="",$F23=""),"",$E23-$F23)</f>
        <v/>
      </c>
      <c r="H23" s="7" t="str">
        <f aca="false">IFERROR(IF(INDEX(Items!$E:$E,MATCH($A23,Items!$A:$A,0))="","",INDEX(Items!$E:$E,MATCH($A23,Items!$A:$A,0))),"")</f>
        <v/>
      </c>
      <c r="I23" s="7" t="str">
        <f aca="false">IF($H23="","",IF(IF($F23="",$E23,$F23)="","",IF(IF($F23="",$E23,$F23)&lt;$H23,"ORDER","OK")))</f>
        <v/>
      </c>
    </row>
    <row r="24" customFormat="false" ht="15" hidden="false" customHeight="false" outlineLevel="0" collapsed="false">
      <c r="A24" s="2" t="n">
        <v>21</v>
      </c>
      <c r="B24" s="2" t="s">
        <v>50</v>
      </c>
      <c r="C24" s="2" t="s">
        <v>29</v>
      </c>
      <c r="D24" s="7" t="str">
        <f aca="false">IFERROR(IF(INDEX(Counts!$K:$K,MATCH(TEXT($B$1,"yyyy-mm-dd")&amp;"|Morning|"&amp;$A24,Counts!$I:$I,0))="","",INDEX(Counts!$K:$K,MATCH(TEXT($B$1,"yyyy-mm-dd")&amp;"|Morning|"&amp;$A24,Counts!$I:$I,0))),"")</f>
        <v/>
      </c>
      <c r="E24" s="7" t="str">
        <f aca="false">IF(COUNTIFS(Counts!$I:$I,TEXT($B$1,"yyyy-mm-dd")&amp;"|Morning|"&amp;$A24)=0,"",SUMIFS(Counts!$F:$F,Counts!$I:$I,TEXT($B$1,"yyyy-mm-dd")&amp;"|Morning|"&amp;$A24))</f>
        <v/>
      </c>
      <c r="F24" s="7" t="str">
        <f aca="false">IF(COUNTIFS(Counts!$I:$I,TEXT($B$1,"yyyy-mm-dd")&amp;"|Night|"&amp;$A24)=0,"",SUMIFS(Counts!$F:$F,Counts!$I:$I,TEXT($B$1,"yyyy-mm-dd")&amp;"|Night|"&amp;$A24))</f>
        <v/>
      </c>
      <c r="G24" s="7" t="str">
        <f aca="false">IF(OR($E24="",$F24=""),"",$E24-$F24)</f>
        <v/>
      </c>
      <c r="H24" s="7" t="str">
        <f aca="false">IFERROR(IF(INDEX(Items!$E:$E,MATCH($A24,Items!$A:$A,0))="","",INDEX(Items!$E:$E,MATCH($A24,Items!$A:$A,0))),"")</f>
        <v/>
      </c>
      <c r="I24" s="7" t="str">
        <f aca="false">IF($H24="","",IF(IF($F24="",$E24,$F24)="","",IF(IF($F24="",$E24,$F24)&lt;$H24,"ORDER","OK")))</f>
        <v/>
      </c>
    </row>
    <row r="25" customFormat="false" ht="15" hidden="false" customHeight="false" outlineLevel="0" collapsed="false">
      <c r="A25" s="2" t="n">
        <v>22</v>
      </c>
      <c r="B25" s="2" t="s">
        <v>51</v>
      </c>
      <c r="C25" s="2" t="s">
        <v>29</v>
      </c>
      <c r="D25" s="7" t="str">
        <f aca="false">IFERROR(IF(INDEX(Counts!$K:$K,MATCH(TEXT($B$1,"yyyy-mm-dd")&amp;"|Morning|"&amp;$A25,Counts!$I:$I,0))="","",INDEX(Counts!$K:$K,MATCH(TEXT($B$1,"yyyy-mm-dd")&amp;"|Morning|"&amp;$A25,Counts!$I:$I,0))),"")</f>
        <v/>
      </c>
      <c r="E25" s="7" t="str">
        <f aca="false">IF(COUNTIFS(Counts!$I:$I,TEXT($B$1,"yyyy-mm-dd")&amp;"|Morning|"&amp;$A25)=0,"",SUMIFS(Counts!$F:$F,Counts!$I:$I,TEXT($B$1,"yyyy-mm-dd")&amp;"|Morning|"&amp;$A25))</f>
        <v/>
      </c>
      <c r="F25" s="7" t="str">
        <f aca="false">IF(COUNTIFS(Counts!$I:$I,TEXT($B$1,"yyyy-mm-dd")&amp;"|Night|"&amp;$A25)=0,"",SUMIFS(Counts!$F:$F,Counts!$I:$I,TEXT($B$1,"yyyy-mm-dd")&amp;"|Night|"&amp;$A25))</f>
        <v/>
      </c>
      <c r="G25" s="7" t="str">
        <f aca="false">IF(OR($E25="",$F25=""),"",$E25-$F25)</f>
        <v/>
      </c>
      <c r="H25" s="7" t="str">
        <f aca="false">IFERROR(IF(INDEX(Items!$E:$E,MATCH($A25,Items!$A:$A,0))="","",INDEX(Items!$E:$E,MATCH($A25,Items!$A:$A,0))),"")</f>
        <v/>
      </c>
      <c r="I25" s="7" t="str">
        <f aca="false">IF($H25="","",IF(IF($F25="",$E25,$F25)="","",IF(IF($F25="",$E25,$F25)&lt;$H25,"ORDER","OK")))</f>
        <v/>
      </c>
    </row>
    <row r="26" customFormat="false" ht="15" hidden="false" customHeight="false" outlineLevel="0" collapsed="false">
      <c r="A26" s="2" t="n">
        <v>23</v>
      </c>
      <c r="B26" s="2" t="s">
        <v>52</v>
      </c>
      <c r="C26" s="2" t="s">
        <v>29</v>
      </c>
      <c r="D26" s="7" t="str">
        <f aca="false">IFERROR(IF(INDEX(Counts!$K:$K,MATCH(TEXT($B$1,"yyyy-mm-dd")&amp;"|Morning|"&amp;$A26,Counts!$I:$I,0))="","",INDEX(Counts!$K:$K,MATCH(TEXT($B$1,"yyyy-mm-dd")&amp;"|Morning|"&amp;$A26,Counts!$I:$I,0))),"")</f>
        <v/>
      </c>
      <c r="E26" s="7" t="str">
        <f aca="false">IF(COUNTIFS(Counts!$I:$I,TEXT($B$1,"yyyy-mm-dd")&amp;"|Morning|"&amp;$A26)=0,"",SUMIFS(Counts!$F:$F,Counts!$I:$I,TEXT($B$1,"yyyy-mm-dd")&amp;"|Morning|"&amp;$A26))</f>
        <v/>
      </c>
      <c r="F26" s="7" t="str">
        <f aca="false">IF(COUNTIFS(Counts!$I:$I,TEXT($B$1,"yyyy-mm-dd")&amp;"|Night|"&amp;$A26)=0,"",SUMIFS(Counts!$F:$F,Counts!$I:$I,TEXT($B$1,"yyyy-mm-dd")&amp;"|Night|"&amp;$A26))</f>
        <v/>
      </c>
      <c r="G26" s="7" t="str">
        <f aca="false">IF(OR($E26="",$F26=""),"",$E26-$F26)</f>
        <v/>
      </c>
      <c r="H26" s="7" t="str">
        <f aca="false">IFERROR(IF(INDEX(Items!$E:$E,MATCH($A26,Items!$A:$A,0))="","",INDEX(Items!$E:$E,MATCH($A26,Items!$A:$A,0))),"")</f>
        <v/>
      </c>
      <c r="I26" s="7" t="str">
        <f aca="false">IF($H26="","",IF(IF($F26="",$E26,$F26)="","",IF(IF($F26="",$E26,$F26)&lt;$H26,"ORDER","OK")))</f>
        <v/>
      </c>
    </row>
    <row r="27" customFormat="false" ht="15" hidden="false" customHeight="false" outlineLevel="0" collapsed="false">
      <c r="A27" s="2" t="n">
        <v>24</v>
      </c>
      <c r="B27" s="2" t="s">
        <v>53</v>
      </c>
      <c r="C27" s="2" t="s">
        <v>29</v>
      </c>
      <c r="D27" s="7" t="str">
        <f aca="false">IFERROR(IF(INDEX(Counts!$K:$K,MATCH(TEXT($B$1,"yyyy-mm-dd")&amp;"|Morning|"&amp;$A27,Counts!$I:$I,0))="","",INDEX(Counts!$K:$K,MATCH(TEXT($B$1,"yyyy-mm-dd")&amp;"|Morning|"&amp;$A27,Counts!$I:$I,0))),"")</f>
        <v/>
      </c>
      <c r="E27" s="7" t="str">
        <f aca="false">IF(COUNTIFS(Counts!$I:$I,TEXT($B$1,"yyyy-mm-dd")&amp;"|Morning|"&amp;$A27)=0,"",SUMIFS(Counts!$F:$F,Counts!$I:$I,TEXT($B$1,"yyyy-mm-dd")&amp;"|Morning|"&amp;$A27))</f>
        <v/>
      </c>
      <c r="F27" s="7" t="str">
        <f aca="false">IF(COUNTIFS(Counts!$I:$I,TEXT($B$1,"yyyy-mm-dd")&amp;"|Night|"&amp;$A27)=0,"",SUMIFS(Counts!$F:$F,Counts!$I:$I,TEXT($B$1,"yyyy-mm-dd")&amp;"|Night|"&amp;$A27))</f>
        <v/>
      </c>
      <c r="G27" s="7" t="str">
        <f aca="false">IF(OR($E27="",$F27=""),"",$E27-$F27)</f>
        <v/>
      </c>
      <c r="H27" s="7" t="str">
        <f aca="false">IFERROR(IF(INDEX(Items!$E:$E,MATCH($A27,Items!$A:$A,0))="","",INDEX(Items!$E:$E,MATCH($A27,Items!$A:$A,0))),"")</f>
        <v/>
      </c>
      <c r="I27" s="7" t="str">
        <f aca="false">IF($H27="","",IF(IF($F27="",$E27,$F27)="","",IF(IF($F27="",$E27,$F27)&lt;$H27,"ORDER","OK")))</f>
        <v/>
      </c>
    </row>
    <row r="28" customFormat="false" ht="15" hidden="false" customHeight="false" outlineLevel="0" collapsed="false">
      <c r="A28" s="2" t="n">
        <v>25</v>
      </c>
      <c r="B28" s="2" t="s">
        <v>54</v>
      </c>
      <c r="C28" s="2" t="s">
        <v>29</v>
      </c>
      <c r="D28" s="7" t="str">
        <f aca="false">IFERROR(IF(INDEX(Counts!$K:$K,MATCH(TEXT($B$1,"yyyy-mm-dd")&amp;"|Morning|"&amp;$A28,Counts!$I:$I,0))="","",INDEX(Counts!$K:$K,MATCH(TEXT($B$1,"yyyy-mm-dd")&amp;"|Morning|"&amp;$A28,Counts!$I:$I,0))),"")</f>
        <v/>
      </c>
      <c r="E28" s="7" t="str">
        <f aca="false">IF(COUNTIFS(Counts!$I:$I,TEXT($B$1,"yyyy-mm-dd")&amp;"|Morning|"&amp;$A28)=0,"",SUMIFS(Counts!$F:$F,Counts!$I:$I,TEXT($B$1,"yyyy-mm-dd")&amp;"|Morning|"&amp;$A28))</f>
        <v/>
      </c>
      <c r="F28" s="7" t="str">
        <f aca="false">IF(COUNTIFS(Counts!$I:$I,TEXT($B$1,"yyyy-mm-dd")&amp;"|Night|"&amp;$A28)=0,"",SUMIFS(Counts!$F:$F,Counts!$I:$I,TEXT($B$1,"yyyy-mm-dd")&amp;"|Night|"&amp;$A28))</f>
        <v/>
      </c>
      <c r="G28" s="7" t="str">
        <f aca="false">IF(OR($E28="",$F28=""),"",$E28-$F28)</f>
        <v/>
      </c>
      <c r="H28" s="7" t="str">
        <f aca="false">IFERROR(IF(INDEX(Items!$E:$E,MATCH($A28,Items!$A:$A,0))="","",INDEX(Items!$E:$E,MATCH($A28,Items!$A:$A,0))),"")</f>
        <v/>
      </c>
      <c r="I28" s="7" t="str">
        <f aca="false">IF($H28="","",IF(IF($F28="",$E28,$F28)="","",IF(IF($F28="",$E28,$F28)&lt;$H28,"ORDER","OK")))</f>
        <v/>
      </c>
    </row>
    <row r="29" customFormat="false" ht="15" hidden="false" customHeight="false" outlineLevel="0" collapsed="false">
      <c r="A29" s="2" t="n">
        <v>26</v>
      </c>
      <c r="B29" s="2" t="s">
        <v>55</v>
      </c>
      <c r="C29" s="2" t="s">
        <v>29</v>
      </c>
      <c r="D29" s="7" t="str">
        <f aca="false">IFERROR(IF(INDEX(Counts!$K:$K,MATCH(TEXT($B$1,"yyyy-mm-dd")&amp;"|Morning|"&amp;$A29,Counts!$I:$I,0))="","",INDEX(Counts!$K:$K,MATCH(TEXT($B$1,"yyyy-mm-dd")&amp;"|Morning|"&amp;$A29,Counts!$I:$I,0))),"")</f>
        <v/>
      </c>
      <c r="E29" s="7" t="str">
        <f aca="false">IF(COUNTIFS(Counts!$I:$I,TEXT($B$1,"yyyy-mm-dd")&amp;"|Morning|"&amp;$A29)=0,"",SUMIFS(Counts!$F:$F,Counts!$I:$I,TEXT($B$1,"yyyy-mm-dd")&amp;"|Morning|"&amp;$A29))</f>
        <v/>
      </c>
      <c r="F29" s="7" t="str">
        <f aca="false">IF(COUNTIFS(Counts!$I:$I,TEXT($B$1,"yyyy-mm-dd")&amp;"|Night|"&amp;$A29)=0,"",SUMIFS(Counts!$F:$F,Counts!$I:$I,TEXT($B$1,"yyyy-mm-dd")&amp;"|Night|"&amp;$A29))</f>
        <v/>
      </c>
      <c r="G29" s="7" t="str">
        <f aca="false">IF(OR($E29="",$F29=""),"",$E29-$F29)</f>
        <v/>
      </c>
      <c r="H29" s="7" t="str">
        <f aca="false">IFERROR(IF(INDEX(Items!$E:$E,MATCH($A29,Items!$A:$A,0))="","",INDEX(Items!$E:$E,MATCH($A29,Items!$A:$A,0))),"")</f>
        <v/>
      </c>
      <c r="I29" s="7" t="str">
        <f aca="false">IF($H29="","",IF(IF($F29="",$E29,$F29)="","",IF(IF($F29="",$E29,$F29)&lt;$H29,"ORDER","OK")))</f>
        <v/>
      </c>
    </row>
    <row r="30" customFormat="false" ht="15" hidden="false" customHeight="false" outlineLevel="0" collapsed="false">
      <c r="A30" s="2" t="n">
        <v>27</v>
      </c>
      <c r="B30" s="2" t="s">
        <v>56</v>
      </c>
      <c r="C30" s="2" t="s">
        <v>29</v>
      </c>
      <c r="D30" s="7" t="str">
        <f aca="false">IFERROR(IF(INDEX(Counts!$K:$K,MATCH(TEXT($B$1,"yyyy-mm-dd")&amp;"|Morning|"&amp;$A30,Counts!$I:$I,0))="","",INDEX(Counts!$K:$K,MATCH(TEXT($B$1,"yyyy-mm-dd")&amp;"|Morning|"&amp;$A30,Counts!$I:$I,0))),"")</f>
        <v/>
      </c>
      <c r="E30" s="7" t="str">
        <f aca="false">IF(COUNTIFS(Counts!$I:$I,TEXT($B$1,"yyyy-mm-dd")&amp;"|Morning|"&amp;$A30)=0,"",SUMIFS(Counts!$F:$F,Counts!$I:$I,TEXT($B$1,"yyyy-mm-dd")&amp;"|Morning|"&amp;$A30))</f>
        <v/>
      </c>
      <c r="F30" s="7" t="str">
        <f aca="false">IF(COUNTIFS(Counts!$I:$I,TEXT($B$1,"yyyy-mm-dd")&amp;"|Night|"&amp;$A30)=0,"",SUMIFS(Counts!$F:$F,Counts!$I:$I,TEXT($B$1,"yyyy-mm-dd")&amp;"|Night|"&amp;$A30))</f>
        <v/>
      </c>
      <c r="G30" s="7" t="str">
        <f aca="false">IF(OR($E30="",$F30=""),"",$E30-$F30)</f>
        <v/>
      </c>
      <c r="H30" s="7" t="str">
        <f aca="false">IFERROR(IF(INDEX(Items!$E:$E,MATCH($A30,Items!$A:$A,0))="","",INDEX(Items!$E:$E,MATCH($A30,Items!$A:$A,0))),"")</f>
        <v/>
      </c>
      <c r="I30" s="7" t="str">
        <f aca="false">IF($H30="","",IF(IF($F30="",$E30,$F30)="","",IF(IF($F30="",$E30,$F30)&lt;$H30,"ORDER","OK")))</f>
        <v/>
      </c>
    </row>
    <row r="31" customFormat="false" ht="15" hidden="false" customHeight="false" outlineLevel="0" collapsed="false">
      <c r="A31" s="2" t="n">
        <v>28</v>
      </c>
      <c r="B31" s="2" t="s">
        <v>57</v>
      </c>
      <c r="C31" s="2" t="s">
        <v>29</v>
      </c>
      <c r="D31" s="7" t="str">
        <f aca="false">IFERROR(IF(INDEX(Counts!$K:$K,MATCH(TEXT($B$1,"yyyy-mm-dd")&amp;"|Morning|"&amp;$A31,Counts!$I:$I,0))="","",INDEX(Counts!$K:$K,MATCH(TEXT($B$1,"yyyy-mm-dd")&amp;"|Morning|"&amp;$A31,Counts!$I:$I,0))),"")</f>
        <v/>
      </c>
      <c r="E31" s="7" t="str">
        <f aca="false">IF(COUNTIFS(Counts!$I:$I,TEXT($B$1,"yyyy-mm-dd")&amp;"|Morning|"&amp;$A31)=0,"",SUMIFS(Counts!$F:$F,Counts!$I:$I,TEXT($B$1,"yyyy-mm-dd")&amp;"|Morning|"&amp;$A31))</f>
        <v/>
      </c>
      <c r="F31" s="7" t="str">
        <f aca="false">IF(COUNTIFS(Counts!$I:$I,TEXT($B$1,"yyyy-mm-dd")&amp;"|Night|"&amp;$A31)=0,"",SUMIFS(Counts!$F:$F,Counts!$I:$I,TEXT($B$1,"yyyy-mm-dd")&amp;"|Night|"&amp;$A31))</f>
        <v/>
      </c>
      <c r="G31" s="7" t="str">
        <f aca="false">IF(OR($E31="",$F31=""),"",$E31-$F31)</f>
        <v/>
      </c>
      <c r="H31" s="7" t="str">
        <f aca="false">IFERROR(IF(INDEX(Items!$E:$E,MATCH($A31,Items!$A:$A,0))="","",INDEX(Items!$E:$E,MATCH($A31,Items!$A:$A,0))),"")</f>
        <v/>
      </c>
      <c r="I31" s="7" t="str">
        <f aca="false">IF($H31="","",IF(IF($F31="",$E31,$F31)="","",IF(IF($F31="",$E31,$F31)&lt;$H31,"ORDER","OK")))</f>
        <v/>
      </c>
    </row>
    <row r="32" customFormat="false" ht="15" hidden="false" customHeight="false" outlineLevel="0" collapsed="false">
      <c r="A32" s="2" t="n">
        <v>29</v>
      </c>
      <c r="B32" s="2" t="s">
        <v>58</v>
      </c>
      <c r="C32" s="2" t="s">
        <v>29</v>
      </c>
      <c r="D32" s="7" t="str">
        <f aca="false">IFERROR(IF(INDEX(Counts!$K:$K,MATCH(TEXT($B$1,"yyyy-mm-dd")&amp;"|Morning|"&amp;$A32,Counts!$I:$I,0))="","",INDEX(Counts!$K:$K,MATCH(TEXT($B$1,"yyyy-mm-dd")&amp;"|Morning|"&amp;$A32,Counts!$I:$I,0))),"")</f>
        <v/>
      </c>
      <c r="E32" s="7" t="str">
        <f aca="false">IF(COUNTIFS(Counts!$I:$I,TEXT($B$1,"yyyy-mm-dd")&amp;"|Morning|"&amp;$A32)=0,"",SUMIFS(Counts!$F:$F,Counts!$I:$I,TEXT($B$1,"yyyy-mm-dd")&amp;"|Morning|"&amp;$A32))</f>
        <v/>
      </c>
      <c r="F32" s="7" t="str">
        <f aca="false">IF(COUNTIFS(Counts!$I:$I,TEXT($B$1,"yyyy-mm-dd")&amp;"|Night|"&amp;$A32)=0,"",SUMIFS(Counts!$F:$F,Counts!$I:$I,TEXT($B$1,"yyyy-mm-dd")&amp;"|Night|"&amp;$A32))</f>
        <v/>
      </c>
      <c r="G32" s="7" t="str">
        <f aca="false">IF(OR($E32="",$F32=""),"",$E32-$F32)</f>
        <v/>
      </c>
      <c r="H32" s="7" t="str">
        <f aca="false">IFERROR(IF(INDEX(Items!$E:$E,MATCH($A32,Items!$A:$A,0))="","",INDEX(Items!$E:$E,MATCH($A32,Items!$A:$A,0))),"")</f>
        <v/>
      </c>
      <c r="I32" s="7" t="str">
        <f aca="false">IF($H32="","",IF(IF($F32="",$E32,$F32)="","",IF(IF($F32="",$E32,$F32)&lt;$H32,"ORDER","OK")))</f>
        <v/>
      </c>
    </row>
    <row r="33" customFormat="false" ht="15" hidden="false" customHeight="false" outlineLevel="0" collapsed="false">
      <c r="A33" s="2" t="n">
        <v>30</v>
      </c>
      <c r="B33" s="2" t="s">
        <v>59</v>
      </c>
      <c r="C33" s="2" t="s">
        <v>29</v>
      </c>
      <c r="D33" s="7" t="str">
        <f aca="false">IFERROR(IF(INDEX(Counts!$K:$K,MATCH(TEXT($B$1,"yyyy-mm-dd")&amp;"|Morning|"&amp;$A33,Counts!$I:$I,0))="","",INDEX(Counts!$K:$K,MATCH(TEXT($B$1,"yyyy-mm-dd")&amp;"|Morning|"&amp;$A33,Counts!$I:$I,0))),"")</f>
        <v/>
      </c>
      <c r="E33" s="7" t="str">
        <f aca="false">IF(COUNTIFS(Counts!$I:$I,TEXT($B$1,"yyyy-mm-dd")&amp;"|Morning|"&amp;$A33)=0,"",SUMIFS(Counts!$F:$F,Counts!$I:$I,TEXT($B$1,"yyyy-mm-dd")&amp;"|Morning|"&amp;$A33))</f>
        <v/>
      </c>
      <c r="F33" s="7" t="str">
        <f aca="false">IF(COUNTIFS(Counts!$I:$I,TEXT($B$1,"yyyy-mm-dd")&amp;"|Night|"&amp;$A33)=0,"",SUMIFS(Counts!$F:$F,Counts!$I:$I,TEXT($B$1,"yyyy-mm-dd")&amp;"|Night|"&amp;$A33))</f>
        <v/>
      </c>
      <c r="G33" s="7" t="str">
        <f aca="false">IF(OR($E33="",$F33=""),"",$E33-$F33)</f>
        <v/>
      </c>
      <c r="H33" s="7" t="str">
        <f aca="false">IFERROR(IF(INDEX(Items!$E:$E,MATCH($A33,Items!$A:$A,0))="","",INDEX(Items!$E:$E,MATCH($A33,Items!$A:$A,0))),"")</f>
        <v/>
      </c>
      <c r="I33" s="7" t="str">
        <f aca="false">IF($H33="","",IF(IF($F33="",$E33,$F33)="","",IF(IF($F33="",$E33,$F33)&lt;$H33,"ORDER","OK")))</f>
        <v/>
      </c>
    </row>
    <row r="34" customFormat="false" ht="15" hidden="false" customHeight="false" outlineLevel="0" collapsed="false">
      <c r="A34" s="2" t="n">
        <v>31</v>
      </c>
      <c r="B34" s="2" t="s">
        <v>60</v>
      </c>
      <c r="C34" s="2" t="s">
        <v>29</v>
      </c>
      <c r="D34" s="7" t="str">
        <f aca="false">IFERROR(IF(INDEX(Counts!$K:$K,MATCH(TEXT($B$1,"yyyy-mm-dd")&amp;"|Morning|"&amp;$A34,Counts!$I:$I,0))="","",INDEX(Counts!$K:$K,MATCH(TEXT($B$1,"yyyy-mm-dd")&amp;"|Morning|"&amp;$A34,Counts!$I:$I,0))),"")</f>
        <v/>
      </c>
      <c r="E34" s="7" t="str">
        <f aca="false">IF(COUNTIFS(Counts!$I:$I,TEXT($B$1,"yyyy-mm-dd")&amp;"|Morning|"&amp;$A34)=0,"",SUMIFS(Counts!$F:$F,Counts!$I:$I,TEXT($B$1,"yyyy-mm-dd")&amp;"|Morning|"&amp;$A34))</f>
        <v/>
      </c>
      <c r="F34" s="7" t="str">
        <f aca="false">IF(COUNTIFS(Counts!$I:$I,TEXT($B$1,"yyyy-mm-dd")&amp;"|Night|"&amp;$A34)=0,"",SUMIFS(Counts!$F:$F,Counts!$I:$I,TEXT($B$1,"yyyy-mm-dd")&amp;"|Night|"&amp;$A34))</f>
        <v/>
      </c>
      <c r="G34" s="7" t="str">
        <f aca="false">IF(OR($E34="",$F34=""),"",$E34-$F34)</f>
        <v/>
      </c>
      <c r="H34" s="7" t="str">
        <f aca="false">IFERROR(IF(INDEX(Items!$E:$E,MATCH($A34,Items!$A:$A,0))="","",INDEX(Items!$E:$E,MATCH($A34,Items!$A:$A,0))),"")</f>
        <v/>
      </c>
      <c r="I34" s="7" t="str">
        <f aca="false">IF($H34="","",IF(IF($F34="",$E34,$F34)="","",IF(IF($F34="",$E34,$F34)&lt;$H34,"ORDER","OK")))</f>
        <v/>
      </c>
    </row>
    <row r="35" customFormat="false" ht="15" hidden="false" customHeight="false" outlineLevel="0" collapsed="false">
      <c r="A35" s="2" t="n">
        <v>32</v>
      </c>
      <c r="B35" s="2" t="s">
        <v>61</v>
      </c>
      <c r="C35" s="2" t="s">
        <v>29</v>
      </c>
      <c r="D35" s="7" t="str">
        <f aca="false">IFERROR(IF(INDEX(Counts!$K:$K,MATCH(TEXT($B$1,"yyyy-mm-dd")&amp;"|Morning|"&amp;$A35,Counts!$I:$I,0))="","",INDEX(Counts!$K:$K,MATCH(TEXT($B$1,"yyyy-mm-dd")&amp;"|Morning|"&amp;$A35,Counts!$I:$I,0))),"")</f>
        <v/>
      </c>
      <c r="E35" s="7" t="str">
        <f aca="false">IF(COUNTIFS(Counts!$I:$I,TEXT($B$1,"yyyy-mm-dd")&amp;"|Morning|"&amp;$A35)=0,"",SUMIFS(Counts!$F:$F,Counts!$I:$I,TEXT($B$1,"yyyy-mm-dd")&amp;"|Morning|"&amp;$A35))</f>
        <v/>
      </c>
      <c r="F35" s="7" t="str">
        <f aca="false">IF(COUNTIFS(Counts!$I:$I,TEXT($B$1,"yyyy-mm-dd")&amp;"|Night|"&amp;$A35)=0,"",SUMIFS(Counts!$F:$F,Counts!$I:$I,TEXT($B$1,"yyyy-mm-dd")&amp;"|Night|"&amp;$A35))</f>
        <v/>
      </c>
      <c r="G35" s="7" t="str">
        <f aca="false">IF(OR($E35="",$F35=""),"",$E35-$F35)</f>
        <v/>
      </c>
      <c r="H35" s="7" t="str">
        <f aca="false">IFERROR(IF(INDEX(Items!$E:$E,MATCH($A35,Items!$A:$A,0))="","",INDEX(Items!$E:$E,MATCH($A35,Items!$A:$A,0))),"")</f>
        <v/>
      </c>
      <c r="I35" s="7" t="str">
        <f aca="false">IF($H35="","",IF(IF($F35="",$E35,$F35)="","",IF(IF($F35="",$E35,$F35)&lt;$H35,"ORDER","OK")))</f>
        <v/>
      </c>
    </row>
    <row r="36" customFormat="false" ht="15" hidden="false" customHeight="false" outlineLevel="0" collapsed="false">
      <c r="A36" s="2" t="n">
        <v>33</v>
      </c>
      <c r="B36" s="2" t="s">
        <v>62</v>
      </c>
      <c r="C36" s="2" t="s">
        <v>29</v>
      </c>
      <c r="D36" s="7" t="str">
        <f aca="false">IFERROR(IF(INDEX(Counts!$K:$K,MATCH(TEXT($B$1,"yyyy-mm-dd")&amp;"|Morning|"&amp;$A36,Counts!$I:$I,0))="","",INDEX(Counts!$K:$K,MATCH(TEXT($B$1,"yyyy-mm-dd")&amp;"|Morning|"&amp;$A36,Counts!$I:$I,0))),"")</f>
        <v/>
      </c>
      <c r="E36" s="7" t="str">
        <f aca="false">IF(COUNTIFS(Counts!$I:$I,TEXT($B$1,"yyyy-mm-dd")&amp;"|Morning|"&amp;$A36)=0,"",SUMIFS(Counts!$F:$F,Counts!$I:$I,TEXT($B$1,"yyyy-mm-dd")&amp;"|Morning|"&amp;$A36))</f>
        <v/>
      </c>
      <c r="F36" s="7" t="str">
        <f aca="false">IF(COUNTIFS(Counts!$I:$I,TEXT($B$1,"yyyy-mm-dd")&amp;"|Night|"&amp;$A36)=0,"",SUMIFS(Counts!$F:$F,Counts!$I:$I,TEXT($B$1,"yyyy-mm-dd")&amp;"|Night|"&amp;$A36))</f>
        <v/>
      </c>
      <c r="G36" s="7" t="str">
        <f aca="false">IF(OR($E36="",$F36=""),"",$E36-$F36)</f>
        <v/>
      </c>
      <c r="H36" s="7" t="str">
        <f aca="false">IFERROR(IF(INDEX(Items!$E:$E,MATCH($A36,Items!$A:$A,0))="","",INDEX(Items!$E:$E,MATCH($A36,Items!$A:$A,0))),"")</f>
        <v/>
      </c>
      <c r="I36" s="7" t="str">
        <f aca="false">IF($H36="","",IF(IF($F36="",$E36,$F36)="","",IF(IF($F36="",$E36,$F36)&lt;$H36,"ORDER","OK")))</f>
        <v/>
      </c>
    </row>
    <row r="37" customFormat="false" ht="15" hidden="false" customHeight="false" outlineLevel="0" collapsed="false">
      <c r="A37" s="2" t="n">
        <v>34</v>
      </c>
      <c r="B37" s="2" t="s">
        <v>63</v>
      </c>
      <c r="C37" s="2" t="s">
        <v>29</v>
      </c>
      <c r="D37" s="7" t="str">
        <f aca="false">IFERROR(IF(INDEX(Counts!$K:$K,MATCH(TEXT($B$1,"yyyy-mm-dd")&amp;"|Morning|"&amp;$A37,Counts!$I:$I,0))="","",INDEX(Counts!$K:$K,MATCH(TEXT($B$1,"yyyy-mm-dd")&amp;"|Morning|"&amp;$A37,Counts!$I:$I,0))),"")</f>
        <v/>
      </c>
      <c r="E37" s="7" t="str">
        <f aca="false">IF(COUNTIFS(Counts!$I:$I,TEXT($B$1,"yyyy-mm-dd")&amp;"|Morning|"&amp;$A37)=0,"",SUMIFS(Counts!$F:$F,Counts!$I:$I,TEXT($B$1,"yyyy-mm-dd")&amp;"|Morning|"&amp;$A37))</f>
        <v/>
      </c>
      <c r="F37" s="7" t="str">
        <f aca="false">IF(COUNTIFS(Counts!$I:$I,TEXT($B$1,"yyyy-mm-dd")&amp;"|Night|"&amp;$A37)=0,"",SUMIFS(Counts!$F:$F,Counts!$I:$I,TEXT($B$1,"yyyy-mm-dd")&amp;"|Night|"&amp;$A37))</f>
        <v/>
      </c>
      <c r="G37" s="7" t="str">
        <f aca="false">IF(OR($E37="",$F37=""),"",$E37-$F37)</f>
        <v/>
      </c>
      <c r="H37" s="7" t="str">
        <f aca="false">IFERROR(IF(INDEX(Items!$E:$E,MATCH($A37,Items!$A:$A,0))="","",INDEX(Items!$E:$E,MATCH($A37,Items!$A:$A,0))),"")</f>
        <v/>
      </c>
      <c r="I37" s="7" t="str">
        <f aca="false">IF($H37="","",IF(IF($F37="",$E37,$F37)="","",IF(IF($F37="",$E37,$F37)&lt;$H37,"ORDER","OK")))</f>
        <v/>
      </c>
    </row>
    <row r="38" customFormat="false" ht="15" hidden="false" customHeight="false" outlineLevel="0" collapsed="false">
      <c r="A38" s="2" t="n">
        <v>35</v>
      </c>
      <c r="B38" s="2" t="s">
        <v>64</v>
      </c>
      <c r="C38" s="2" t="s">
        <v>29</v>
      </c>
      <c r="D38" s="7" t="str">
        <f aca="false">IFERROR(IF(INDEX(Counts!$K:$K,MATCH(TEXT($B$1,"yyyy-mm-dd")&amp;"|Morning|"&amp;$A38,Counts!$I:$I,0))="","",INDEX(Counts!$K:$K,MATCH(TEXT($B$1,"yyyy-mm-dd")&amp;"|Morning|"&amp;$A38,Counts!$I:$I,0))),"")</f>
        <v/>
      </c>
      <c r="E38" s="7" t="str">
        <f aca="false">IF(COUNTIFS(Counts!$I:$I,TEXT($B$1,"yyyy-mm-dd")&amp;"|Morning|"&amp;$A38)=0,"",SUMIFS(Counts!$F:$F,Counts!$I:$I,TEXT($B$1,"yyyy-mm-dd")&amp;"|Morning|"&amp;$A38))</f>
        <v/>
      </c>
      <c r="F38" s="7" t="str">
        <f aca="false">IF(COUNTIFS(Counts!$I:$I,TEXT($B$1,"yyyy-mm-dd")&amp;"|Night|"&amp;$A38)=0,"",SUMIFS(Counts!$F:$F,Counts!$I:$I,TEXT($B$1,"yyyy-mm-dd")&amp;"|Night|"&amp;$A38))</f>
        <v/>
      </c>
      <c r="G38" s="7" t="str">
        <f aca="false">IF(OR($E38="",$F38=""),"",$E38-$F38)</f>
        <v/>
      </c>
      <c r="H38" s="7" t="str">
        <f aca="false">IFERROR(IF(INDEX(Items!$E:$E,MATCH($A38,Items!$A:$A,0))="","",INDEX(Items!$E:$E,MATCH($A38,Items!$A:$A,0))),"")</f>
        <v/>
      </c>
      <c r="I38" s="7" t="str">
        <f aca="false">IF($H38="","",IF(IF($F38="",$E38,$F38)="","",IF(IF($F38="",$E38,$F38)&lt;$H38,"ORDER","OK")))</f>
        <v/>
      </c>
    </row>
    <row r="39" customFormat="false" ht="15" hidden="false" customHeight="false" outlineLevel="0" collapsed="false">
      <c r="A39" s="2" t="n">
        <v>36</v>
      </c>
      <c r="B39" s="2" t="s">
        <v>65</v>
      </c>
      <c r="C39" s="2" t="s">
        <v>29</v>
      </c>
      <c r="D39" s="7" t="str">
        <f aca="false">IFERROR(IF(INDEX(Counts!$K:$K,MATCH(TEXT($B$1,"yyyy-mm-dd")&amp;"|Morning|"&amp;$A39,Counts!$I:$I,0))="","",INDEX(Counts!$K:$K,MATCH(TEXT($B$1,"yyyy-mm-dd")&amp;"|Morning|"&amp;$A39,Counts!$I:$I,0))),"")</f>
        <v/>
      </c>
      <c r="E39" s="7" t="str">
        <f aca="false">IF(COUNTIFS(Counts!$I:$I,TEXT($B$1,"yyyy-mm-dd")&amp;"|Morning|"&amp;$A39)=0,"",SUMIFS(Counts!$F:$F,Counts!$I:$I,TEXT($B$1,"yyyy-mm-dd")&amp;"|Morning|"&amp;$A39))</f>
        <v/>
      </c>
      <c r="F39" s="7" t="str">
        <f aca="false">IF(COUNTIFS(Counts!$I:$I,TEXT($B$1,"yyyy-mm-dd")&amp;"|Night|"&amp;$A39)=0,"",SUMIFS(Counts!$F:$F,Counts!$I:$I,TEXT($B$1,"yyyy-mm-dd")&amp;"|Night|"&amp;$A39))</f>
        <v/>
      </c>
      <c r="G39" s="7" t="str">
        <f aca="false">IF(OR($E39="",$F39=""),"",$E39-$F39)</f>
        <v/>
      </c>
      <c r="H39" s="7" t="str">
        <f aca="false">IFERROR(IF(INDEX(Items!$E:$E,MATCH($A39,Items!$A:$A,0))="","",INDEX(Items!$E:$E,MATCH($A39,Items!$A:$A,0))),"")</f>
        <v/>
      </c>
      <c r="I39" s="7" t="str">
        <f aca="false">IF($H39="","",IF(IF($F39="",$E39,$F39)="","",IF(IF($F39="",$E39,$F39)&lt;$H39,"ORDER","OK")))</f>
        <v/>
      </c>
    </row>
    <row r="40" customFormat="false" ht="15" hidden="false" customHeight="false" outlineLevel="0" collapsed="false">
      <c r="A40" s="2" t="n">
        <v>37</v>
      </c>
      <c r="B40" s="2" t="s">
        <v>66</v>
      </c>
      <c r="C40" s="2" t="s">
        <v>29</v>
      </c>
      <c r="D40" s="7" t="str">
        <f aca="false">IFERROR(IF(INDEX(Counts!$K:$K,MATCH(TEXT($B$1,"yyyy-mm-dd")&amp;"|Morning|"&amp;$A40,Counts!$I:$I,0))="","",INDEX(Counts!$K:$K,MATCH(TEXT($B$1,"yyyy-mm-dd")&amp;"|Morning|"&amp;$A40,Counts!$I:$I,0))),"")</f>
        <v/>
      </c>
      <c r="E40" s="7" t="str">
        <f aca="false">IF(COUNTIFS(Counts!$I:$I,TEXT($B$1,"yyyy-mm-dd")&amp;"|Morning|"&amp;$A40)=0,"",SUMIFS(Counts!$F:$F,Counts!$I:$I,TEXT($B$1,"yyyy-mm-dd")&amp;"|Morning|"&amp;$A40))</f>
        <v/>
      </c>
      <c r="F40" s="7" t="str">
        <f aca="false">IF(COUNTIFS(Counts!$I:$I,TEXT($B$1,"yyyy-mm-dd")&amp;"|Night|"&amp;$A40)=0,"",SUMIFS(Counts!$F:$F,Counts!$I:$I,TEXT($B$1,"yyyy-mm-dd")&amp;"|Night|"&amp;$A40))</f>
        <v/>
      </c>
      <c r="G40" s="7" t="str">
        <f aca="false">IF(OR($E40="",$F40=""),"",$E40-$F40)</f>
        <v/>
      </c>
      <c r="H40" s="7" t="str">
        <f aca="false">IFERROR(IF(INDEX(Items!$E:$E,MATCH($A40,Items!$A:$A,0))="","",INDEX(Items!$E:$E,MATCH($A40,Items!$A:$A,0))),"")</f>
        <v/>
      </c>
      <c r="I40" s="7" t="str">
        <f aca="false">IF($H40="","",IF(IF($F40="",$E40,$F40)="","",IF(IF($F40="",$E40,$F40)&lt;$H40,"ORDER","OK")))</f>
        <v/>
      </c>
    </row>
    <row r="41" customFormat="false" ht="15" hidden="false" customHeight="false" outlineLevel="0" collapsed="false">
      <c r="A41" s="2" t="n">
        <v>38</v>
      </c>
      <c r="B41" s="2" t="s">
        <v>67</v>
      </c>
      <c r="C41" s="2" t="s">
        <v>29</v>
      </c>
      <c r="D41" s="7" t="str">
        <f aca="false">IFERROR(IF(INDEX(Counts!$K:$K,MATCH(TEXT($B$1,"yyyy-mm-dd")&amp;"|Morning|"&amp;$A41,Counts!$I:$I,0))="","",INDEX(Counts!$K:$K,MATCH(TEXT($B$1,"yyyy-mm-dd")&amp;"|Morning|"&amp;$A41,Counts!$I:$I,0))),"")</f>
        <v/>
      </c>
      <c r="E41" s="7" t="str">
        <f aca="false">IF(COUNTIFS(Counts!$I:$I,TEXT($B$1,"yyyy-mm-dd")&amp;"|Morning|"&amp;$A41)=0,"",SUMIFS(Counts!$F:$F,Counts!$I:$I,TEXT($B$1,"yyyy-mm-dd")&amp;"|Morning|"&amp;$A41))</f>
        <v/>
      </c>
      <c r="F41" s="7" t="str">
        <f aca="false">IF(COUNTIFS(Counts!$I:$I,TEXT($B$1,"yyyy-mm-dd")&amp;"|Night|"&amp;$A41)=0,"",SUMIFS(Counts!$F:$F,Counts!$I:$I,TEXT($B$1,"yyyy-mm-dd")&amp;"|Night|"&amp;$A41))</f>
        <v/>
      </c>
      <c r="G41" s="7" t="str">
        <f aca="false">IF(OR($E41="",$F41=""),"",$E41-$F41)</f>
        <v/>
      </c>
      <c r="H41" s="7" t="str">
        <f aca="false">IFERROR(IF(INDEX(Items!$E:$E,MATCH($A41,Items!$A:$A,0))="","",INDEX(Items!$E:$E,MATCH($A41,Items!$A:$A,0))),"")</f>
        <v/>
      </c>
      <c r="I41" s="7" t="str">
        <f aca="false">IF($H41="","",IF(IF($F41="",$E41,$F41)="","",IF(IF($F41="",$E41,$F41)&lt;$H41,"ORDER","OK")))</f>
        <v/>
      </c>
    </row>
    <row r="42" customFormat="false" ht="15" hidden="false" customHeight="false" outlineLevel="0" collapsed="false">
      <c r="A42" s="2" t="n">
        <v>39</v>
      </c>
      <c r="B42" s="2" t="s">
        <v>68</v>
      </c>
      <c r="C42" s="2" t="s">
        <v>29</v>
      </c>
      <c r="D42" s="7" t="str">
        <f aca="false">IFERROR(IF(INDEX(Counts!$K:$K,MATCH(TEXT($B$1,"yyyy-mm-dd")&amp;"|Morning|"&amp;$A42,Counts!$I:$I,0))="","",INDEX(Counts!$K:$K,MATCH(TEXT($B$1,"yyyy-mm-dd")&amp;"|Morning|"&amp;$A42,Counts!$I:$I,0))),"")</f>
        <v/>
      </c>
      <c r="E42" s="7" t="str">
        <f aca="false">IF(COUNTIFS(Counts!$I:$I,TEXT($B$1,"yyyy-mm-dd")&amp;"|Morning|"&amp;$A42)=0,"",SUMIFS(Counts!$F:$F,Counts!$I:$I,TEXT($B$1,"yyyy-mm-dd")&amp;"|Morning|"&amp;$A42))</f>
        <v/>
      </c>
      <c r="F42" s="7" t="str">
        <f aca="false">IF(COUNTIFS(Counts!$I:$I,TEXT($B$1,"yyyy-mm-dd")&amp;"|Night|"&amp;$A42)=0,"",SUMIFS(Counts!$F:$F,Counts!$I:$I,TEXT($B$1,"yyyy-mm-dd")&amp;"|Night|"&amp;$A42))</f>
        <v/>
      </c>
      <c r="G42" s="7" t="str">
        <f aca="false">IF(OR($E42="",$F42=""),"",$E42-$F42)</f>
        <v/>
      </c>
      <c r="H42" s="7" t="str">
        <f aca="false">IFERROR(IF(INDEX(Items!$E:$E,MATCH($A42,Items!$A:$A,0))="","",INDEX(Items!$E:$E,MATCH($A42,Items!$A:$A,0))),"")</f>
        <v/>
      </c>
      <c r="I42" s="7" t="str">
        <f aca="false">IF($H42="","",IF(IF($F42="",$E42,$F42)="","",IF(IF($F42="",$E42,$F42)&lt;$H42,"ORDER","OK")))</f>
        <v/>
      </c>
    </row>
    <row r="43" customFormat="false" ht="15" hidden="false" customHeight="false" outlineLevel="0" collapsed="false">
      <c r="A43" s="2" t="n">
        <v>40</v>
      </c>
      <c r="B43" s="2" t="s">
        <v>69</v>
      </c>
      <c r="C43" s="2" t="s">
        <v>29</v>
      </c>
      <c r="D43" s="7" t="str">
        <f aca="false">IFERROR(IF(INDEX(Counts!$K:$K,MATCH(TEXT($B$1,"yyyy-mm-dd")&amp;"|Morning|"&amp;$A43,Counts!$I:$I,0))="","",INDEX(Counts!$K:$K,MATCH(TEXT($B$1,"yyyy-mm-dd")&amp;"|Morning|"&amp;$A43,Counts!$I:$I,0))),"")</f>
        <v/>
      </c>
      <c r="E43" s="7" t="str">
        <f aca="false">IF(COUNTIFS(Counts!$I:$I,TEXT($B$1,"yyyy-mm-dd")&amp;"|Morning|"&amp;$A43)=0,"",SUMIFS(Counts!$F:$F,Counts!$I:$I,TEXT($B$1,"yyyy-mm-dd")&amp;"|Morning|"&amp;$A43))</f>
        <v/>
      </c>
      <c r="F43" s="7" t="str">
        <f aca="false">IF(COUNTIFS(Counts!$I:$I,TEXT($B$1,"yyyy-mm-dd")&amp;"|Night|"&amp;$A43)=0,"",SUMIFS(Counts!$F:$F,Counts!$I:$I,TEXT($B$1,"yyyy-mm-dd")&amp;"|Night|"&amp;$A43))</f>
        <v/>
      </c>
      <c r="G43" s="7" t="str">
        <f aca="false">IF(OR($E43="",$F43=""),"",$E43-$F43)</f>
        <v/>
      </c>
      <c r="H43" s="7" t="str">
        <f aca="false">IFERROR(IF(INDEX(Items!$E:$E,MATCH($A43,Items!$A:$A,0))="","",INDEX(Items!$E:$E,MATCH($A43,Items!$A:$A,0))),"")</f>
        <v/>
      </c>
      <c r="I43" s="7" t="str">
        <f aca="false">IF($H43="","",IF(IF($F43="",$E43,$F43)="","",IF(IF($F43="",$E43,$F43)&lt;$H43,"ORDER","OK")))</f>
        <v/>
      </c>
    </row>
    <row r="44" customFormat="false" ht="15" hidden="false" customHeight="false" outlineLevel="0" collapsed="false">
      <c r="A44" s="2" t="n">
        <v>41</v>
      </c>
      <c r="B44" s="2" t="s">
        <v>70</v>
      </c>
      <c r="C44" s="2" t="s">
        <v>29</v>
      </c>
      <c r="D44" s="7" t="str">
        <f aca="false">IFERROR(IF(INDEX(Counts!$K:$K,MATCH(TEXT($B$1,"yyyy-mm-dd")&amp;"|Morning|"&amp;$A44,Counts!$I:$I,0))="","",INDEX(Counts!$K:$K,MATCH(TEXT($B$1,"yyyy-mm-dd")&amp;"|Morning|"&amp;$A44,Counts!$I:$I,0))),"")</f>
        <v/>
      </c>
      <c r="E44" s="7" t="str">
        <f aca="false">IF(COUNTIFS(Counts!$I:$I,TEXT($B$1,"yyyy-mm-dd")&amp;"|Morning|"&amp;$A44)=0,"",SUMIFS(Counts!$F:$F,Counts!$I:$I,TEXT($B$1,"yyyy-mm-dd")&amp;"|Morning|"&amp;$A44))</f>
        <v/>
      </c>
      <c r="F44" s="7" t="str">
        <f aca="false">IF(COUNTIFS(Counts!$I:$I,TEXT($B$1,"yyyy-mm-dd")&amp;"|Night|"&amp;$A44)=0,"",SUMIFS(Counts!$F:$F,Counts!$I:$I,TEXT($B$1,"yyyy-mm-dd")&amp;"|Night|"&amp;$A44))</f>
        <v/>
      </c>
      <c r="G44" s="7" t="str">
        <f aca="false">IF(OR($E44="",$F44=""),"",$E44-$F44)</f>
        <v/>
      </c>
      <c r="H44" s="7" t="str">
        <f aca="false">IFERROR(IF(INDEX(Items!$E:$E,MATCH($A44,Items!$A:$A,0))="","",INDEX(Items!$E:$E,MATCH($A44,Items!$A:$A,0))),"")</f>
        <v/>
      </c>
      <c r="I44" s="7" t="str">
        <f aca="false">IF($H44="","",IF(IF($F44="",$E44,$F44)="","",IF(IF($F44="",$E44,$F44)&lt;$H44,"ORDER","OK")))</f>
        <v/>
      </c>
    </row>
    <row r="45" customFormat="false" ht="15" hidden="false" customHeight="false" outlineLevel="0" collapsed="false">
      <c r="A45" s="2" t="n">
        <v>42</v>
      </c>
      <c r="B45" s="2" t="s">
        <v>71</v>
      </c>
      <c r="C45" s="2" t="s">
        <v>29</v>
      </c>
      <c r="D45" s="7" t="str">
        <f aca="false">IFERROR(IF(INDEX(Counts!$K:$K,MATCH(TEXT($B$1,"yyyy-mm-dd")&amp;"|Morning|"&amp;$A45,Counts!$I:$I,0))="","",INDEX(Counts!$K:$K,MATCH(TEXT($B$1,"yyyy-mm-dd")&amp;"|Morning|"&amp;$A45,Counts!$I:$I,0))),"")</f>
        <v/>
      </c>
      <c r="E45" s="7" t="str">
        <f aca="false">IF(COUNTIFS(Counts!$I:$I,TEXT($B$1,"yyyy-mm-dd")&amp;"|Morning|"&amp;$A45)=0,"",SUMIFS(Counts!$F:$F,Counts!$I:$I,TEXT($B$1,"yyyy-mm-dd")&amp;"|Morning|"&amp;$A45))</f>
        <v/>
      </c>
      <c r="F45" s="7" t="str">
        <f aca="false">IF(COUNTIFS(Counts!$I:$I,TEXT($B$1,"yyyy-mm-dd")&amp;"|Night|"&amp;$A45)=0,"",SUMIFS(Counts!$F:$F,Counts!$I:$I,TEXT($B$1,"yyyy-mm-dd")&amp;"|Night|"&amp;$A45))</f>
        <v/>
      </c>
      <c r="G45" s="7" t="str">
        <f aca="false">IF(OR($E45="",$F45=""),"",$E45-$F45)</f>
        <v/>
      </c>
      <c r="H45" s="7" t="str">
        <f aca="false">IFERROR(IF(INDEX(Items!$E:$E,MATCH($A45,Items!$A:$A,0))="","",INDEX(Items!$E:$E,MATCH($A45,Items!$A:$A,0))),"")</f>
        <v/>
      </c>
      <c r="I45" s="7" t="str">
        <f aca="false">IF($H45="","",IF(IF($F45="",$E45,$F45)="","",IF(IF($F45="",$E45,$F45)&lt;$H45,"ORDER","OK")))</f>
        <v/>
      </c>
    </row>
    <row r="46" customFormat="false" ht="15" hidden="false" customHeight="false" outlineLevel="0" collapsed="false">
      <c r="A46" s="2" t="n">
        <v>43</v>
      </c>
      <c r="B46" s="2" t="s">
        <v>72</v>
      </c>
      <c r="C46" s="2" t="s">
        <v>29</v>
      </c>
      <c r="D46" s="7" t="str">
        <f aca="false">IFERROR(IF(INDEX(Counts!$K:$K,MATCH(TEXT($B$1,"yyyy-mm-dd")&amp;"|Morning|"&amp;$A46,Counts!$I:$I,0))="","",INDEX(Counts!$K:$K,MATCH(TEXT($B$1,"yyyy-mm-dd")&amp;"|Morning|"&amp;$A46,Counts!$I:$I,0))),"")</f>
        <v/>
      </c>
      <c r="E46" s="7" t="str">
        <f aca="false">IF(COUNTIFS(Counts!$I:$I,TEXT($B$1,"yyyy-mm-dd")&amp;"|Morning|"&amp;$A46)=0,"",SUMIFS(Counts!$F:$F,Counts!$I:$I,TEXT($B$1,"yyyy-mm-dd")&amp;"|Morning|"&amp;$A46))</f>
        <v/>
      </c>
      <c r="F46" s="7" t="str">
        <f aca="false">IF(COUNTIFS(Counts!$I:$I,TEXT($B$1,"yyyy-mm-dd")&amp;"|Night|"&amp;$A46)=0,"",SUMIFS(Counts!$F:$F,Counts!$I:$I,TEXT($B$1,"yyyy-mm-dd")&amp;"|Night|"&amp;$A46))</f>
        <v/>
      </c>
      <c r="G46" s="7" t="str">
        <f aca="false">IF(OR($E46="",$F46=""),"",$E46-$F46)</f>
        <v/>
      </c>
      <c r="H46" s="7" t="str">
        <f aca="false">IFERROR(IF(INDEX(Items!$E:$E,MATCH($A46,Items!$A:$A,0))="","",INDEX(Items!$E:$E,MATCH($A46,Items!$A:$A,0))),"")</f>
        <v/>
      </c>
      <c r="I46" s="7" t="str">
        <f aca="false">IF($H46="","",IF(IF($F46="",$E46,$F46)="","",IF(IF($F46="",$E46,$F46)&lt;$H46,"ORDER","OK")))</f>
        <v/>
      </c>
    </row>
    <row r="47" customFormat="false" ht="15" hidden="false" customHeight="false" outlineLevel="0" collapsed="false">
      <c r="A47" s="2" t="n">
        <v>44</v>
      </c>
      <c r="B47" s="2" t="s">
        <v>73</v>
      </c>
      <c r="C47" s="2" t="s">
        <v>29</v>
      </c>
      <c r="D47" s="7" t="str">
        <f aca="false">IFERROR(IF(INDEX(Counts!$K:$K,MATCH(TEXT($B$1,"yyyy-mm-dd")&amp;"|Morning|"&amp;$A47,Counts!$I:$I,0))="","",INDEX(Counts!$K:$K,MATCH(TEXT($B$1,"yyyy-mm-dd")&amp;"|Morning|"&amp;$A47,Counts!$I:$I,0))),"")</f>
        <v/>
      </c>
      <c r="E47" s="7" t="str">
        <f aca="false">IF(COUNTIFS(Counts!$I:$I,TEXT($B$1,"yyyy-mm-dd")&amp;"|Morning|"&amp;$A47)=0,"",SUMIFS(Counts!$F:$F,Counts!$I:$I,TEXT($B$1,"yyyy-mm-dd")&amp;"|Morning|"&amp;$A47))</f>
        <v/>
      </c>
      <c r="F47" s="7" t="str">
        <f aca="false">IF(COUNTIFS(Counts!$I:$I,TEXT($B$1,"yyyy-mm-dd")&amp;"|Night|"&amp;$A47)=0,"",SUMIFS(Counts!$F:$F,Counts!$I:$I,TEXT($B$1,"yyyy-mm-dd")&amp;"|Night|"&amp;$A47))</f>
        <v/>
      </c>
      <c r="G47" s="7" t="str">
        <f aca="false">IF(OR($E47="",$F47=""),"",$E47-$F47)</f>
        <v/>
      </c>
      <c r="H47" s="7" t="str">
        <f aca="false">IFERROR(IF(INDEX(Items!$E:$E,MATCH($A47,Items!$A:$A,0))="","",INDEX(Items!$E:$E,MATCH($A47,Items!$A:$A,0))),"")</f>
        <v/>
      </c>
      <c r="I47" s="7" t="str">
        <f aca="false">IF($H47="","",IF(IF($F47="",$E47,$F47)="","",IF(IF($F47="",$E47,$F47)&lt;$H47,"ORDER","OK")))</f>
        <v/>
      </c>
    </row>
    <row r="48" customFormat="false" ht="15" hidden="false" customHeight="false" outlineLevel="0" collapsed="false">
      <c r="A48" s="2" t="n">
        <v>45</v>
      </c>
      <c r="B48" s="2" t="s">
        <v>74</v>
      </c>
      <c r="C48" s="2" t="s">
        <v>29</v>
      </c>
      <c r="D48" s="7" t="str">
        <f aca="false">IFERROR(IF(INDEX(Counts!$K:$K,MATCH(TEXT($B$1,"yyyy-mm-dd")&amp;"|Morning|"&amp;$A48,Counts!$I:$I,0))="","",INDEX(Counts!$K:$K,MATCH(TEXT($B$1,"yyyy-mm-dd")&amp;"|Morning|"&amp;$A48,Counts!$I:$I,0))),"")</f>
        <v/>
      </c>
      <c r="E48" s="7" t="str">
        <f aca="false">IF(COUNTIFS(Counts!$I:$I,TEXT($B$1,"yyyy-mm-dd")&amp;"|Morning|"&amp;$A48)=0,"",SUMIFS(Counts!$F:$F,Counts!$I:$I,TEXT($B$1,"yyyy-mm-dd")&amp;"|Morning|"&amp;$A48))</f>
        <v/>
      </c>
      <c r="F48" s="7" t="str">
        <f aca="false">IF(COUNTIFS(Counts!$I:$I,TEXT($B$1,"yyyy-mm-dd")&amp;"|Night|"&amp;$A48)=0,"",SUMIFS(Counts!$F:$F,Counts!$I:$I,TEXT($B$1,"yyyy-mm-dd")&amp;"|Night|"&amp;$A48))</f>
        <v/>
      </c>
      <c r="G48" s="7" t="str">
        <f aca="false">IF(OR($E48="",$F48=""),"",$E48-$F48)</f>
        <v/>
      </c>
      <c r="H48" s="7" t="str">
        <f aca="false">IFERROR(IF(INDEX(Items!$E:$E,MATCH($A48,Items!$A:$A,0))="","",INDEX(Items!$E:$E,MATCH($A48,Items!$A:$A,0))),"")</f>
        <v/>
      </c>
      <c r="I48" s="7" t="str">
        <f aca="false">IF($H48="","",IF(IF($F48="",$E48,$F48)="","",IF(IF($F48="",$E48,$F48)&lt;$H48,"ORDER","OK")))</f>
        <v/>
      </c>
    </row>
    <row r="49" customFormat="false" ht="15" hidden="false" customHeight="false" outlineLevel="0" collapsed="false">
      <c r="A49" s="2" t="n">
        <v>46</v>
      </c>
      <c r="B49" s="2" t="s">
        <v>75</v>
      </c>
      <c r="C49" s="2" t="s">
        <v>29</v>
      </c>
      <c r="D49" s="7" t="str">
        <f aca="false">IFERROR(IF(INDEX(Counts!$K:$K,MATCH(TEXT($B$1,"yyyy-mm-dd")&amp;"|Morning|"&amp;$A49,Counts!$I:$I,0))="","",INDEX(Counts!$K:$K,MATCH(TEXT($B$1,"yyyy-mm-dd")&amp;"|Morning|"&amp;$A49,Counts!$I:$I,0))),"")</f>
        <v/>
      </c>
      <c r="E49" s="7" t="str">
        <f aca="false">IF(COUNTIFS(Counts!$I:$I,TEXT($B$1,"yyyy-mm-dd")&amp;"|Morning|"&amp;$A49)=0,"",SUMIFS(Counts!$F:$F,Counts!$I:$I,TEXT($B$1,"yyyy-mm-dd")&amp;"|Morning|"&amp;$A49))</f>
        <v/>
      </c>
      <c r="F49" s="7" t="str">
        <f aca="false">IF(COUNTIFS(Counts!$I:$I,TEXT($B$1,"yyyy-mm-dd")&amp;"|Night|"&amp;$A49)=0,"",SUMIFS(Counts!$F:$F,Counts!$I:$I,TEXT($B$1,"yyyy-mm-dd")&amp;"|Night|"&amp;$A49))</f>
        <v/>
      </c>
      <c r="G49" s="7" t="str">
        <f aca="false">IF(OR($E49="",$F49=""),"",$E49-$F49)</f>
        <v/>
      </c>
      <c r="H49" s="7" t="str">
        <f aca="false">IFERROR(IF(INDEX(Items!$E:$E,MATCH($A49,Items!$A:$A,0))="","",INDEX(Items!$E:$E,MATCH($A49,Items!$A:$A,0))),"")</f>
        <v/>
      </c>
      <c r="I49" s="7" t="str">
        <f aca="false">IF($H49="","",IF(IF($F49="",$E49,$F49)="","",IF(IF($F49="",$E49,$F49)&lt;$H49,"ORDER","OK")))</f>
        <v/>
      </c>
    </row>
    <row r="50" customFormat="false" ht="15" hidden="false" customHeight="false" outlineLevel="0" collapsed="false">
      <c r="A50" s="2" t="n">
        <v>47</v>
      </c>
      <c r="B50" s="2" t="s">
        <v>76</v>
      </c>
      <c r="C50" s="2" t="s">
        <v>29</v>
      </c>
      <c r="D50" s="7" t="str">
        <f aca="false">IFERROR(IF(INDEX(Counts!$K:$K,MATCH(TEXT($B$1,"yyyy-mm-dd")&amp;"|Morning|"&amp;$A50,Counts!$I:$I,0))="","",INDEX(Counts!$K:$K,MATCH(TEXT($B$1,"yyyy-mm-dd")&amp;"|Morning|"&amp;$A50,Counts!$I:$I,0))),"")</f>
        <v/>
      </c>
      <c r="E50" s="7" t="str">
        <f aca="false">IF(COUNTIFS(Counts!$I:$I,TEXT($B$1,"yyyy-mm-dd")&amp;"|Morning|"&amp;$A50)=0,"",SUMIFS(Counts!$F:$F,Counts!$I:$I,TEXT($B$1,"yyyy-mm-dd")&amp;"|Morning|"&amp;$A50))</f>
        <v/>
      </c>
      <c r="F50" s="7" t="str">
        <f aca="false">IF(COUNTIFS(Counts!$I:$I,TEXT($B$1,"yyyy-mm-dd")&amp;"|Night|"&amp;$A50)=0,"",SUMIFS(Counts!$F:$F,Counts!$I:$I,TEXT($B$1,"yyyy-mm-dd")&amp;"|Night|"&amp;$A50))</f>
        <v/>
      </c>
      <c r="G50" s="7" t="str">
        <f aca="false">IF(OR($E50="",$F50=""),"",$E50-$F50)</f>
        <v/>
      </c>
      <c r="H50" s="7" t="str">
        <f aca="false">IFERROR(IF(INDEX(Items!$E:$E,MATCH($A50,Items!$A:$A,0))="","",INDEX(Items!$E:$E,MATCH($A50,Items!$A:$A,0))),"")</f>
        <v/>
      </c>
      <c r="I50" s="7" t="str">
        <f aca="false">IF($H50="","",IF(IF($F50="",$E50,$F50)="","",IF(IF($F50="",$E50,$F50)&lt;$H50,"ORDER","OK")))</f>
        <v/>
      </c>
    </row>
    <row r="51" customFormat="false" ht="15" hidden="false" customHeight="false" outlineLevel="0" collapsed="false">
      <c r="A51" s="2" t="n">
        <v>48</v>
      </c>
      <c r="B51" s="2" t="s">
        <v>77</v>
      </c>
      <c r="C51" s="2" t="s">
        <v>29</v>
      </c>
      <c r="D51" s="7" t="str">
        <f aca="false">IFERROR(IF(INDEX(Counts!$K:$K,MATCH(TEXT($B$1,"yyyy-mm-dd")&amp;"|Morning|"&amp;$A51,Counts!$I:$I,0))="","",INDEX(Counts!$K:$K,MATCH(TEXT($B$1,"yyyy-mm-dd")&amp;"|Morning|"&amp;$A51,Counts!$I:$I,0))),"")</f>
        <v/>
      </c>
      <c r="E51" s="7" t="str">
        <f aca="false">IF(COUNTIFS(Counts!$I:$I,TEXT($B$1,"yyyy-mm-dd")&amp;"|Morning|"&amp;$A51)=0,"",SUMIFS(Counts!$F:$F,Counts!$I:$I,TEXT($B$1,"yyyy-mm-dd")&amp;"|Morning|"&amp;$A51))</f>
        <v/>
      </c>
      <c r="F51" s="7" t="str">
        <f aca="false">IF(COUNTIFS(Counts!$I:$I,TEXT($B$1,"yyyy-mm-dd")&amp;"|Night|"&amp;$A51)=0,"",SUMIFS(Counts!$F:$F,Counts!$I:$I,TEXT($B$1,"yyyy-mm-dd")&amp;"|Night|"&amp;$A51))</f>
        <v/>
      </c>
      <c r="G51" s="7" t="str">
        <f aca="false">IF(OR($E51="",$F51=""),"",$E51-$F51)</f>
        <v/>
      </c>
      <c r="H51" s="7" t="str">
        <f aca="false">IFERROR(IF(INDEX(Items!$E:$E,MATCH($A51,Items!$A:$A,0))="","",INDEX(Items!$E:$E,MATCH($A51,Items!$A:$A,0))),"")</f>
        <v/>
      </c>
      <c r="I51" s="7" t="str">
        <f aca="false">IF($H51="","",IF(IF($F51="",$E51,$F51)="","",IF(IF($F51="",$E51,$F51)&lt;$H51,"ORDER","OK")))</f>
        <v/>
      </c>
    </row>
    <row r="52" customFormat="false" ht="15" hidden="false" customHeight="false" outlineLevel="0" collapsed="false">
      <c r="A52" s="2" t="n">
        <v>49</v>
      </c>
      <c r="B52" s="2" t="s">
        <v>78</v>
      </c>
      <c r="C52" s="2" t="s">
        <v>29</v>
      </c>
      <c r="D52" s="7" t="str">
        <f aca="false">IFERROR(IF(INDEX(Counts!$K:$K,MATCH(TEXT($B$1,"yyyy-mm-dd")&amp;"|Morning|"&amp;$A52,Counts!$I:$I,0))="","",INDEX(Counts!$K:$K,MATCH(TEXT($B$1,"yyyy-mm-dd")&amp;"|Morning|"&amp;$A52,Counts!$I:$I,0))),"")</f>
        <v/>
      </c>
      <c r="E52" s="7" t="str">
        <f aca="false">IF(COUNTIFS(Counts!$I:$I,TEXT($B$1,"yyyy-mm-dd")&amp;"|Morning|"&amp;$A52)=0,"",SUMIFS(Counts!$F:$F,Counts!$I:$I,TEXT($B$1,"yyyy-mm-dd")&amp;"|Morning|"&amp;$A52))</f>
        <v/>
      </c>
      <c r="F52" s="7" t="str">
        <f aca="false">IF(COUNTIFS(Counts!$I:$I,TEXT($B$1,"yyyy-mm-dd")&amp;"|Night|"&amp;$A52)=0,"",SUMIFS(Counts!$F:$F,Counts!$I:$I,TEXT($B$1,"yyyy-mm-dd")&amp;"|Night|"&amp;$A52))</f>
        <v/>
      </c>
      <c r="G52" s="7" t="str">
        <f aca="false">IF(OR($E52="",$F52=""),"",$E52-$F52)</f>
        <v/>
      </c>
      <c r="H52" s="7" t="str">
        <f aca="false">IFERROR(IF(INDEX(Items!$E:$E,MATCH($A52,Items!$A:$A,0))="","",INDEX(Items!$E:$E,MATCH($A52,Items!$A:$A,0))),"")</f>
        <v/>
      </c>
      <c r="I52" s="7" t="str">
        <f aca="false">IF($H52="","",IF(IF($F52="",$E52,$F52)="","",IF(IF($F52="",$E52,$F52)&lt;$H52,"ORDER","OK")))</f>
        <v/>
      </c>
    </row>
    <row r="53" customFormat="false" ht="15" hidden="false" customHeight="false" outlineLevel="0" collapsed="false">
      <c r="A53" s="2" t="n">
        <v>50</v>
      </c>
      <c r="B53" s="2" t="s">
        <v>79</v>
      </c>
      <c r="C53" s="2" t="s">
        <v>29</v>
      </c>
      <c r="D53" s="7" t="str">
        <f aca="false">IFERROR(IF(INDEX(Counts!$K:$K,MATCH(TEXT($B$1,"yyyy-mm-dd")&amp;"|Morning|"&amp;$A53,Counts!$I:$I,0))="","",INDEX(Counts!$K:$K,MATCH(TEXT($B$1,"yyyy-mm-dd")&amp;"|Morning|"&amp;$A53,Counts!$I:$I,0))),"")</f>
        <v/>
      </c>
      <c r="E53" s="7" t="str">
        <f aca="false">IF(COUNTIFS(Counts!$I:$I,TEXT($B$1,"yyyy-mm-dd")&amp;"|Morning|"&amp;$A53)=0,"",SUMIFS(Counts!$F:$F,Counts!$I:$I,TEXT($B$1,"yyyy-mm-dd")&amp;"|Morning|"&amp;$A53))</f>
        <v/>
      </c>
      <c r="F53" s="7" t="str">
        <f aca="false">IF(COUNTIFS(Counts!$I:$I,TEXT($B$1,"yyyy-mm-dd")&amp;"|Night|"&amp;$A53)=0,"",SUMIFS(Counts!$F:$F,Counts!$I:$I,TEXT($B$1,"yyyy-mm-dd")&amp;"|Night|"&amp;$A53))</f>
        <v/>
      </c>
      <c r="G53" s="7" t="str">
        <f aca="false">IF(OR($E53="",$F53=""),"",$E53-$F53)</f>
        <v/>
      </c>
      <c r="H53" s="7" t="str">
        <f aca="false">IFERROR(IF(INDEX(Items!$E:$E,MATCH($A53,Items!$A:$A,0))="","",INDEX(Items!$E:$E,MATCH($A53,Items!$A:$A,0))),"")</f>
        <v/>
      </c>
      <c r="I53" s="7" t="str">
        <f aca="false">IF($H53="","",IF(IF($F53="",$E53,$F53)="","",IF(IF($F53="",$E53,$F53)&lt;$H53,"ORDER","OK")))</f>
        <v/>
      </c>
    </row>
    <row r="54" customFormat="false" ht="15" hidden="false" customHeight="false" outlineLevel="0" collapsed="false">
      <c r="A54" s="2" t="n">
        <v>51</v>
      </c>
      <c r="B54" s="2" t="s">
        <v>80</v>
      </c>
      <c r="C54" s="2" t="s">
        <v>29</v>
      </c>
      <c r="D54" s="7" t="str">
        <f aca="false">IFERROR(IF(INDEX(Counts!$K:$K,MATCH(TEXT($B$1,"yyyy-mm-dd")&amp;"|Morning|"&amp;$A54,Counts!$I:$I,0))="","",INDEX(Counts!$K:$K,MATCH(TEXT($B$1,"yyyy-mm-dd")&amp;"|Morning|"&amp;$A54,Counts!$I:$I,0))),"")</f>
        <v/>
      </c>
      <c r="E54" s="7" t="str">
        <f aca="false">IF(COUNTIFS(Counts!$I:$I,TEXT($B$1,"yyyy-mm-dd")&amp;"|Morning|"&amp;$A54)=0,"",SUMIFS(Counts!$F:$F,Counts!$I:$I,TEXT($B$1,"yyyy-mm-dd")&amp;"|Morning|"&amp;$A54))</f>
        <v/>
      </c>
      <c r="F54" s="7" t="str">
        <f aca="false">IF(COUNTIFS(Counts!$I:$I,TEXT($B$1,"yyyy-mm-dd")&amp;"|Night|"&amp;$A54)=0,"",SUMIFS(Counts!$F:$F,Counts!$I:$I,TEXT($B$1,"yyyy-mm-dd")&amp;"|Night|"&amp;$A54))</f>
        <v/>
      </c>
      <c r="G54" s="7" t="str">
        <f aca="false">IF(OR($E54="",$F54=""),"",$E54-$F54)</f>
        <v/>
      </c>
      <c r="H54" s="7" t="str">
        <f aca="false">IFERROR(IF(INDEX(Items!$E:$E,MATCH($A54,Items!$A:$A,0))="","",INDEX(Items!$E:$E,MATCH($A54,Items!$A:$A,0))),"")</f>
        <v/>
      </c>
      <c r="I54" s="7" t="str">
        <f aca="false">IF($H54="","",IF(IF($F54="",$E54,$F54)="","",IF(IF($F54="",$E54,$F54)&lt;$H54,"ORDER","OK")))</f>
        <v/>
      </c>
    </row>
    <row r="55" customFormat="false" ht="15" hidden="false" customHeight="false" outlineLevel="0" collapsed="false">
      <c r="A55" s="2" t="n">
        <v>52</v>
      </c>
      <c r="B55" s="2" t="s">
        <v>81</v>
      </c>
      <c r="C55" s="2" t="s">
        <v>29</v>
      </c>
      <c r="D55" s="7" t="str">
        <f aca="false">IFERROR(IF(INDEX(Counts!$K:$K,MATCH(TEXT($B$1,"yyyy-mm-dd")&amp;"|Morning|"&amp;$A55,Counts!$I:$I,0))="","",INDEX(Counts!$K:$K,MATCH(TEXT($B$1,"yyyy-mm-dd")&amp;"|Morning|"&amp;$A55,Counts!$I:$I,0))),"")</f>
        <v/>
      </c>
      <c r="E55" s="7" t="str">
        <f aca="false">IF(COUNTIFS(Counts!$I:$I,TEXT($B$1,"yyyy-mm-dd")&amp;"|Morning|"&amp;$A55)=0,"",SUMIFS(Counts!$F:$F,Counts!$I:$I,TEXT($B$1,"yyyy-mm-dd")&amp;"|Morning|"&amp;$A55))</f>
        <v/>
      </c>
      <c r="F55" s="7" t="str">
        <f aca="false">IF(COUNTIFS(Counts!$I:$I,TEXT($B$1,"yyyy-mm-dd")&amp;"|Night|"&amp;$A55)=0,"",SUMIFS(Counts!$F:$F,Counts!$I:$I,TEXT($B$1,"yyyy-mm-dd")&amp;"|Night|"&amp;$A55))</f>
        <v/>
      </c>
      <c r="G55" s="7" t="str">
        <f aca="false">IF(OR($E55="",$F55=""),"",$E55-$F55)</f>
        <v/>
      </c>
      <c r="H55" s="7" t="str">
        <f aca="false">IFERROR(IF(INDEX(Items!$E:$E,MATCH($A55,Items!$A:$A,0))="","",INDEX(Items!$E:$E,MATCH($A55,Items!$A:$A,0))),"")</f>
        <v/>
      </c>
      <c r="I55" s="7" t="str">
        <f aca="false">IF($H55="","",IF(IF($F55="",$E55,$F55)="","",IF(IF($F55="",$E55,$F55)&lt;$H55,"ORDER","OK")))</f>
        <v/>
      </c>
    </row>
    <row r="56" customFormat="false" ht="15" hidden="false" customHeight="false" outlineLevel="0" collapsed="false">
      <c r="A56" s="2" t="n">
        <v>53</v>
      </c>
      <c r="B56" s="2" t="s">
        <v>82</v>
      </c>
      <c r="C56" s="2" t="s">
        <v>83</v>
      </c>
      <c r="D56" s="7" t="str">
        <f aca="false">IFERROR(IF(INDEX(Counts!$K:$K,MATCH(TEXT($B$1,"yyyy-mm-dd")&amp;"|Morning|"&amp;$A56,Counts!$I:$I,0))="","",INDEX(Counts!$K:$K,MATCH(TEXT($B$1,"yyyy-mm-dd")&amp;"|Morning|"&amp;$A56,Counts!$I:$I,0))),"")</f>
        <v/>
      </c>
      <c r="E56" s="7" t="str">
        <f aca="false">IF(COUNTIFS(Counts!$I:$I,TEXT($B$1,"yyyy-mm-dd")&amp;"|Morning|"&amp;$A56)=0,"",SUMIFS(Counts!$F:$F,Counts!$I:$I,TEXT($B$1,"yyyy-mm-dd")&amp;"|Morning|"&amp;$A56))</f>
        <v/>
      </c>
      <c r="F56" s="7" t="str">
        <f aca="false">IF(COUNTIFS(Counts!$I:$I,TEXT($B$1,"yyyy-mm-dd")&amp;"|Night|"&amp;$A56)=0,"",SUMIFS(Counts!$F:$F,Counts!$I:$I,TEXT($B$1,"yyyy-mm-dd")&amp;"|Night|"&amp;$A56))</f>
        <v/>
      </c>
      <c r="G56" s="7" t="str">
        <f aca="false">IF(OR($E56="",$F56=""),"",$E56-$F56)</f>
        <v/>
      </c>
      <c r="H56" s="7" t="str">
        <f aca="false">IFERROR(IF(INDEX(Items!$E:$E,MATCH($A56,Items!$A:$A,0))="","",INDEX(Items!$E:$E,MATCH($A56,Items!$A:$A,0))),"")</f>
        <v/>
      </c>
      <c r="I56" s="7" t="str">
        <f aca="false">IF($H56="","",IF(IF($F56="",$E56,$F56)="","",IF(IF($F56="",$E56,$F56)&lt;$H56,"ORDER","OK")))</f>
        <v/>
      </c>
    </row>
    <row r="57" customFormat="false" ht="15" hidden="false" customHeight="false" outlineLevel="0" collapsed="false">
      <c r="A57" s="2" t="n">
        <v>54</v>
      </c>
      <c r="B57" s="2" t="s">
        <v>85</v>
      </c>
      <c r="C57" s="2" t="s">
        <v>83</v>
      </c>
      <c r="D57" s="7" t="str">
        <f aca="false">IFERROR(IF(INDEX(Counts!$K:$K,MATCH(TEXT($B$1,"yyyy-mm-dd")&amp;"|Morning|"&amp;$A57,Counts!$I:$I,0))="","",INDEX(Counts!$K:$K,MATCH(TEXT($B$1,"yyyy-mm-dd")&amp;"|Morning|"&amp;$A57,Counts!$I:$I,0))),"")</f>
        <v/>
      </c>
      <c r="E57" s="7" t="str">
        <f aca="false">IF(COUNTIFS(Counts!$I:$I,TEXT($B$1,"yyyy-mm-dd")&amp;"|Morning|"&amp;$A57)=0,"",SUMIFS(Counts!$F:$F,Counts!$I:$I,TEXT($B$1,"yyyy-mm-dd")&amp;"|Morning|"&amp;$A57))</f>
        <v/>
      </c>
      <c r="F57" s="7" t="str">
        <f aca="false">IF(COUNTIFS(Counts!$I:$I,TEXT($B$1,"yyyy-mm-dd")&amp;"|Night|"&amp;$A57)=0,"",SUMIFS(Counts!$F:$F,Counts!$I:$I,TEXT($B$1,"yyyy-mm-dd")&amp;"|Night|"&amp;$A57))</f>
        <v/>
      </c>
      <c r="G57" s="7" t="str">
        <f aca="false">IF(OR($E57="",$F57=""),"",$E57-$F57)</f>
        <v/>
      </c>
      <c r="H57" s="7" t="str">
        <f aca="false">IFERROR(IF(INDEX(Items!$E:$E,MATCH($A57,Items!$A:$A,0))="","",INDEX(Items!$E:$E,MATCH($A57,Items!$A:$A,0))),"")</f>
        <v/>
      </c>
      <c r="I57" s="7" t="str">
        <f aca="false">IF($H57="","",IF(IF($F57="",$E57,$F57)="","",IF(IF($F57="",$E57,$F57)&lt;$H57,"ORDER","OK")))</f>
        <v/>
      </c>
    </row>
    <row r="58" customFormat="false" ht="15" hidden="false" customHeight="false" outlineLevel="0" collapsed="false">
      <c r="A58" s="2" t="n">
        <v>55</v>
      </c>
      <c r="B58" s="2" t="s">
        <v>86</v>
      </c>
      <c r="C58" s="2" t="s">
        <v>83</v>
      </c>
      <c r="D58" s="7" t="str">
        <f aca="false">IFERROR(IF(INDEX(Counts!$K:$K,MATCH(TEXT($B$1,"yyyy-mm-dd")&amp;"|Morning|"&amp;$A58,Counts!$I:$I,0))="","",INDEX(Counts!$K:$K,MATCH(TEXT($B$1,"yyyy-mm-dd")&amp;"|Morning|"&amp;$A58,Counts!$I:$I,0))),"")</f>
        <v/>
      </c>
      <c r="E58" s="7" t="str">
        <f aca="false">IF(COUNTIFS(Counts!$I:$I,TEXT($B$1,"yyyy-mm-dd")&amp;"|Morning|"&amp;$A58)=0,"",SUMIFS(Counts!$F:$F,Counts!$I:$I,TEXT($B$1,"yyyy-mm-dd")&amp;"|Morning|"&amp;$A58))</f>
        <v/>
      </c>
      <c r="F58" s="7" t="str">
        <f aca="false">IF(COUNTIFS(Counts!$I:$I,TEXT($B$1,"yyyy-mm-dd")&amp;"|Night|"&amp;$A58)=0,"",SUMIFS(Counts!$F:$F,Counts!$I:$I,TEXT($B$1,"yyyy-mm-dd")&amp;"|Night|"&amp;$A58))</f>
        <v/>
      </c>
      <c r="G58" s="7" t="str">
        <f aca="false">IF(OR($E58="",$F58=""),"",$E58-$F58)</f>
        <v/>
      </c>
      <c r="H58" s="7" t="str">
        <f aca="false">IFERROR(IF(INDEX(Items!$E:$E,MATCH($A58,Items!$A:$A,0))="","",INDEX(Items!$E:$E,MATCH($A58,Items!$A:$A,0))),"")</f>
        <v/>
      </c>
      <c r="I58" s="7" t="str">
        <f aca="false">IF($H58="","",IF(IF($F58="",$E58,$F58)="","",IF(IF($F58="",$E58,$F58)&lt;$H58,"ORDER","OK")))</f>
        <v/>
      </c>
    </row>
    <row r="59" customFormat="false" ht="15" hidden="false" customHeight="false" outlineLevel="0" collapsed="false">
      <c r="A59" s="2" t="n">
        <v>56</v>
      </c>
      <c r="B59" s="2" t="s">
        <v>87</v>
      </c>
      <c r="C59" s="2" t="s">
        <v>83</v>
      </c>
      <c r="D59" s="7" t="str">
        <f aca="false">IFERROR(IF(INDEX(Counts!$K:$K,MATCH(TEXT($B$1,"yyyy-mm-dd")&amp;"|Morning|"&amp;$A59,Counts!$I:$I,0))="","",INDEX(Counts!$K:$K,MATCH(TEXT($B$1,"yyyy-mm-dd")&amp;"|Morning|"&amp;$A59,Counts!$I:$I,0))),"")</f>
        <v/>
      </c>
      <c r="E59" s="7" t="str">
        <f aca="false">IF(COUNTIFS(Counts!$I:$I,TEXT($B$1,"yyyy-mm-dd")&amp;"|Morning|"&amp;$A59)=0,"",SUMIFS(Counts!$F:$F,Counts!$I:$I,TEXT($B$1,"yyyy-mm-dd")&amp;"|Morning|"&amp;$A59))</f>
        <v/>
      </c>
      <c r="F59" s="7" t="str">
        <f aca="false">IF(COUNTIFS(Counts!$I:$I,TEXT($B$1,"yyyy-mm-dd")&amp;"|Night|"&amp;$A59)=0,"",SUMIFS(Counts!$F:$F,Counts!$I:$I,TEXT($B$1,"yyyy-mm-dd")&amp;"|Night|"&amp;$A59))</f>
        <v/>
      </c>
      <c r="G59" s="7" t="str">
        <f aca="false">IF(OR($E59="",$F59=""),"",$E59-$F59)</f>
        <v/>
      </c>
      <c r="H59" s="7" t="str">
        <f aca="false">IFERROR(IF(INDEX(Items!$E:$E,MATCH($A59,Items!$A:$A,0))="","",INDEX(Items!$E:$E,MATCH($A59,Items!$A:$A,0))),"")</f>
        <v/>
      </c>
      <c r="I59" s="7" t="str">
        <f aca="false">IF($H59="","",IF(IF($F59="",$E59,$F59)="","",IF(IF($F59="",$E59,$F59)&lt;$H59,"ORDER","OK")))</f>
        <v/>
      </c>
    </row>
    <row r="60" customFormat="false" ht="15" hidden="false" customHeight="false" outlineLevel="0" collapsed="false">
      <c r="A60" s="2" t="n">
        <v>57</v>
      </c>
      <c r="B60" s="2" t="s">
        <v>88</v>
      </c>
      <c r="C60" s="2" t="s">
        <v>83</v>
      </c>
      <c r="D60" s="7" t="str">
        <f aca="false">IFERROR(IF(INDEX(Counts!$K:$K,MATCH(TEXT($B$1,"yyyy-mm-dd")&amp;"|Morning|"&amp;$A60,Counts!$I:$I,0))="","",INDEX(Counts!$K:$K,MATCH(TEXT($B$1,"yyyy-mm-dd")&amp;"|Morning|"&amp;$A60,Counts!$I:$I,0))),"")</f>
        <v/>
      </c>
      <c r="E60" s="7" t="str">
        <f aca="false">IF(COUNTIFS(Counts!$I:$I,TEXT($B$1,"yyyy-mm-dd")&amp;"|Morning|"&amp;$A60)=0,"",SUMIFS(Counts!$F:$F,Counts!$I:$I,TEXT($B$1,"yyyy-mm-dd")&amp;"|Morning|"&amp;$A60))</f>
        <v/>
      </c>
      <c r="F60" s="7" t="str">
        <f aca="false">IF(COUNTIFS(Counts!$I:$I,TEXT($B$1,"yyyy-mm-dd")&amp;"|Night|"&amp;$A60)=0,"",SUMIFS(Counts!$F:$F,Counts!$I:$I,TEXT($B$1,"yyyy-mm-dd")&amp;"|Night|"&amp;$A60))</f>
        <v/>
      </c>
      <c r="G60" s="7" t="str">
        <f aca="false">IF(OR($E60="",$F60=""),"",$E60-$F60)</f>
        <v/>
      </c>
      <c r="H60" s="7" t="str">
        <f aca="false">IFERROR(IF(INDEX(Items!$E:$E,MATCH($A60,Items!$A:$A,0))="","",INDEX(Items!$E:$E,MATCH($A60,Items!$A:$A,0))),"")</f>
        <v/>
      </c>
      <c r="I60" s="7" t="str">
        <f aca="false">IF($H60="","",IF(IF($F60="",$E60,$F60)="","",IF(IF($F60="",$E60,$F60)&lt;$H60,"ORDER","OK")))</f>
        <v/>
      </c>
    </row>
    <row r="61" customFormat="false" ht="15" hidden="false" customHeight="false" outlineLevel="0" collapsed="false">
      <c r="A61" s="2" t="n">
        <v>58</v>
      </c>
      <c r="B61" s="2" t="s">
        <v>89</v>
      </c>
      <c r="C61" s="2" t="s">
        <v>29</v>
      </c>
      <c r="D61" s="7" t="str">
        <f aca="false">IFERROR(IF(INDEX(Counts!$K:$K,MATCH(TEXT($B$1,"yyyy-mm-dd")&amp;"|Morning|"&amp;$A61,Counts!$I:$I,0))="","",INDEX(Counts!$K:$K,MATCH(TEXT($B$1,"yyyy-mm-dd")&amp;"|Morning|"&amp;$A61,Counts!$I:$I,0))),"")</f>
        <v/>
      </c>
      <c r="E61" s="7" t="str">
        <f aca="false">IF(COUNTIFS(Counts!$I:$I,TEXT($B$1,"yyyy-mm-dd")&amp;"|Morning|"&amp;$A61)=0,"",SUMIFS(Counts!$F:$F,Counts!$I:$I,TEXT($B$1,"yyyy-mm-dd")&amp;"|Morning|"&amp;$A61))</f>
        <v/>
      </c>
      <c r="F61" s="7" t="str">
        <f aca="false">IF(COUNTIFS(Counts!$I:$I,TEXT($B$1,"yyyy-mm-dd")&amp;"|Night|"&amp;$A61)=0,"",SUMIFS(Counts!$F:$F,Counts!$I:$I,TEXT($B$1,"yyyy-mm-dd")&amp;"|Night|"&amp;$A61))</f>
        <v/>
      </c>
      <c r="G61" s="7" t="str">
        <f aca="false">IF(OR($E61="",$F61=""),"",$E61-$F61)</f>
        <v/>
      </c>
      <c r="H61" s="7" t="str">
        <f aca="false">IFERROR(IF(INDEX(Items!$E:$E,MATCH($A61,Items!$A:$A,0))="","",INDEX(Items!$E:$E,MATCH($A61,Items!$A:$A,0))),"")</f>
        <v/>
      </c>
      <c r="I61" s="7" t="str">
        <f aca="false">IF($H61="","",IF(IF($F61="",$E61,$F61)="","",IF(IF($F61="",$E61,$F61)&lt;$H61,"ORDER","OK")))</f>
        <v/>
      </c>
    </row>
    <row r="62" customFormat="false" ht="15" hidden="false" customHeight="false" outlineLevel="0" collapsed="false">
      <c r="A62" s="2" t="n">
        <v>59</v>
      </c>
      <c r="B62" s="2" t="s">
        <v>90</v>
      </c>
      <c r="C62" s="2" t="s">
        <v>29</v>
      </c>
      <c r="D62" s="7" t="str">
        <f aca="false">IFERROR(IF(INDEX(Counts!$K:$K,MATCH(TEXT($B$1,"yyyy-mm-dd")&amp;"|Morning|"&amp;$A62,Counts!$I:$I,0))="","",INDEX(Counts!$K:$K,MATCH(TEXT($B$1,"yyyy-mm-dd")&amp;"|Morning|"&amp;$A62,Counts!$I:$I,0))),"")</f>
        <v/>
      </c>
      <c r="E62" s="7" t="str">
        <f aca="false">IF(COUNTIFS(Counts!$I:$I,TEXT($B$1,"yyyy-mm-dd")&amp;"|Morning|"&amp;$A62)=0,"",SUMIFS(Counts!$F:$F,Counts!$I:$I,TEXT($B$1,"yyyy-mm-dd")&amp;"|Morning|"&amp;$A62))</f>
        <v/>
      </c>
      <c r="F62" s="7" t="str">
        <f aca="false">IF(COUNTIFS(Counts!$I:$I,TEXT($B$1,"yyyy-mm-dd")&amp;"|Night|"&amp;$A62)=0,"",SUMIFS(Counts!$F:$F,Counts!$I:$I,TEXT($B$1,"yyyy-mm-dd")&amp;"|Night|"&amp;$A62))</f>
        <v/>
      </c>
      <c r="G62" s="7" t="str">
        <f aca="false">IF(OR($E62="",$F62=""),"",$E62-$F62)</f>
        <v/>
      </c>
      <c r="H62" s="7" t="str">
        <f aca="false">IFERROR(IF(INDEX(Items!$E:$E,MATCH($A62,Items!$A:$A,0))="","",INDEX(Items!$E:$E,MATCH($A62,Items!$A:$A,0))),"")</f>
        <v/>
      </c>
      <c r="I62" s="7" t="str">
        <f aca="false">IF($H62="","",IF(IF($F62="",$E62,$F62)="","",IF(IF($F62="",$E62,$F62)&lt;$H62,"ORDER","OK")))</f>
        <v/>
      </c>
    </row>
    <row r="63" customFormat="false" ht="15" hidden="false" customHeight="false" outlineLevel="0" collapsed="false">
      <c r="A63" s="2" t="n">
        <v>60</v>
      </c>
      <c r="B63" s="2" t="s">
        <v>91</v>
      </c>
      <c r="C63" s="2" t="s">
        <v>92</v>
      </c>
      <c r="D63" s="7" t="str">
        <f aca="false">IFERROR(IF(INDEX(Counts!$K:$K,MATCH(TEXT($B$1,"yyyy-mm-dd")&amp;"|Morning|"&amp;$A63,Counts!$I:$I,0))="","",INDEX(Counts!$K:$K,MATCH(TEXT($B$1,"yyyy-mm-dd")&amp;"|Morning|"&amp;$A63,Counts!$I:$I,0))),"")</f>
        <v/>
      </c>
      <c r="E63" s="7" t="str">
        <f aca="false">IF(COUNTIFS(Counts!$I:$I,TEXT($B$1,"yyyy-mm-dd")&amp;"|Morning|"&amp;$A63)=0,"",SUMIFS(Counts!$F:$F,Counts!$I:$I,TEXT($B$1,"yyyy-mm-dd")&amp;"|Morning|"&amp;$A63))</f>
        <v/>
      </c>
      <c r="F63" s="7" t="str">
        <f aca="false">IF(COUNTIFS(Counts!$I:$I,TEXT($B$1,"yyyy-mm-dd")&amp;"|Night|"&amp;$A63)=0,"",SUMIFS(Counts!$F:$F,Counts!$I:$I,TEXT($B$1,"yyyy-mm-dd")&amp;"|Night|"&amp;$A63))</f>
        <v/>
      </c>
      <c r="G63" s="7" t="str">
        <f aca="false">IF(OR($E63="",$F63=""),"",$E63-$F63)</f>
        <v/>
      </c>
      <c r="H63" s="7" t="str">
        <f aca="false">IFERROR(IF(INDEX(Items!$E:$E,MATCH($A63,Items!$A:$A,0))="","",INDEX(Items!$E:$E,MATCH($A63,Items!$A:$A,0))),"")</f>
        <v/>
      </c>
      <c r="I63" s="7" t="str">
        <f aca="false">IF($H63="","",IF(IF($F63="",$E63,$F63)="","",IF(IF($F63="",$E63,$F63)&lt;$H63,"ORDER","OK")))</f>
        <v/>
      </c>
    </row>
    <row r="64" customFormat="false" ht="15" hidden="false" customHeight="false" outlineLevel="0" collapsed="false">
      <c r="A64" s="2" t="n">
        <v>61</v>
      </c>
      <c r="B64" s="2" t="s">
        <v>93</v>
      </c>
      <c r="C64" s="2" t="s">
        <v>29</v>
      </c>
      <c r="D64" s="7" t="str">
        <f aca="false">IFERROR(IF(INDEX(Counts!$K:$K,MATCH(TEXT($B$1,"yyyy-mm-dd")&amp;"|Morning|"&amp;$A64,Counts!$I:$I,0))="","",INDEX(Counts!$K:$K,MATCH(TEXT($B$1,"yyyy-mm-dd")&amp;"|Morning|"&amp;$A64,Counts!$I:$I,0))),"")</f>
        <v/>
      </c>
      <c r="E64" s="7" t="str">
        <f aca="false">IF(COUNTIFS(Counts!$I:$I,TEXT($B$1,"yyyy-mm-dd")&amp;"|Morning|"&amp;$A64)=0,"",SUMIFS(Counts!$F:$F,Counts!$I:$I,TEXT($B$1,"yyyy-mm-dd")&amp;"|Morning|"&amp;$A64))</f>
        <v/>
      </c>
      <c r="F64" s="7" t="str">
        <f aca="false">IF(COUNTIFS(Counts!$I:$I,TEXT($B$1,"yyyy-mm-dd")&amp;"|Night|"&amp;$A64)=0,"",SUMIFS(Counts!$F:$F,Counts!$I:$I,TEXT($B$1,"yyyy-mm-dd")&amp;"|Night|"&amp;$A64))</f>
        <v/>
      </c>
      <c r="G64" s="7" t="str">
        <f aca="false">IF(OR($E64="",$F64=""),"",$E64-$F64)</f>
        <v/>
      </c>
      <c r="H64" s="7" t="str">
        <f aca="false">IFERROR(IF(INDEX(Items!$E:$E,MATCH($A64,Items!$A:$A,0))="","",INDEX(Items!$E:$E,MATCH($A64,Items!$A:$A,0))),"")</f>
        <v/>
      </c>
      <c r="I64" s="7" t="str">
        <f aca="false">IF($H64="","",IF(IF($F64="",$E64,$F64)="","",IF(IF($F64="",$E64,$F64)&lt;$H64,"ORDER","OK")))</f>
        <v/>
      </c>
    </row>
    <row r="65" customFormat="false" ht="15" hidden="false" customHeight="false" outlineLevel="0" collapsed="false">
      <c r="A65" s="2" t="n">
        <v>62</v>
      </c>
      <c r="B65" s="2" t="s">
        <v>94</v>
      </c>
      <c r="C65" s="2" t="s">
        <v>29</v>
      </c>
      <c r="D65" s="7" t="str">
        <f aca="false">IFERROR(IF(INDEX(Counts!$K:$K,MATCH(TEXT($B$1,"yyyy-mm-dd")&amp;"|Morning|"&amp;$A65,Counts!$I:$I,0))="","",INDEX(Counts!$K:$K,MATCH(TEXT($B$1,"yyyy-mm-dd")&amp;"|Morning|"&amp;$A65,Counts!$I:$I,0))),"")</f>
        <v/>
      </c>
      <c r="E65" s="7" t="str">
        <f aca="false">IF(COUNTIFS(Counts!$I:$I,TEXT($B$1,"yyyy-mm-dd")&amp;"|Morning|"&amp;$A65)=0,"",SUMIFS(Counts!$F:$F,Counts!$I:$I,TEXT($B$1,"yyyy-mm-dd")&amp;"|Morning|"&amp;$A65))</f>
        <v/>
      </c>
      <c r="F65" s="7" t="str">
        <f aca="false">IF(COUNTIFS(Counts!$I:$I,TEXT($B$1,"yyyy-mm-dd")&amp;"|Night|"&amp;$A65)=0,"",SUMIFS(Counts!$F:$F,Counts!$I:$I,TEXT($B$1,"yyyy-mm-dd")&amp;"|Night|"&amp;$A65))</f>
        <v/>
      </c>
      <c r="G65" s="7" t="str">
        <f aca="false">IF(OR($E65="",$F65=""),"",$E65-$F65)</f>
        <v/>
      </c>
      <c r="H65" s="7" t="str">
        <f aca="false">IFERROR(IF(INDEX(Items!$E:$E,MATCH($A65,Items!$A:$A,0))="","",INDEX(Items!$E:$E,MATCH($A65,Items!$A:$A,0))),"")</f>
        <v/>
      </c>
      <c r="I65" s="7" t="str">
        <f aca="false">IF($H65="","",IF(IF($F65="",$E65,$F65)="","",IF(IF($F65="",$E65,$F65)&lt;$H65,"ORDER","OK")))</f>
        <v/>
      </c>
    </row>
    <row r="66" customFormat="false" ht="15" hidden="false" customHeight="false" outlineLevel="0" collapsed="false">
      <c r="A66" s="2" t="n">
        <v>63</v>
      </c>
      <c r="B66" s="2" t="s">
        <v>95</v>
      </c>
      <c r="C66" s="2" t="s">
        <v>83</v>
      </c>
      <c r="D66" s="7" t="str">
        <f aca="false">IFERROR(IF(INDEX(Counts!$K:$K,MATCH(TEXT($B$1,"yyyy-mm-dd")&amp;"|Morning|"&amp;$A66,Counts!$I:$I,0))="","",INDEX(Counts!$K:$K,MATCH(TEXT($B$1,"yyyy-mm-dd")&amp;"|Morning|"&amp;$A66,Counts!$I:$I,0))),"")</f>
        <v/>
      </c>
      <c r="E66" s="7" t="str">
        <f aca="false">IF(COUNTIFS(Counts!$I:$I,TEXT($B$1,"yyyy-mm-dd")&amp;"|Morning|"&amp;$A66)=0,"",SUMIFS(Counts!$F:$F,Counts!$I:$I,TEXT($B$1,"yyyy-mm-dd")&amp;"|Morning|"&amp;$A66))</f>
        <v/>
      </c>
      <c r="F66" s="7" t="str">
        <f aca="false">IF(COUNTIFS(Counts!$I:$I,TEXT($B$1,"yyyy-mm-dd")&amp;"|Night|"&amp;$A66)=0,"",SUMIFS(Counts!$F:$F,Counts!$I:$I,TEXT($B$1,"yyyy-mm-dd")&amp;"|Night|"&amp;$A66))</f>
        <v/>
      </c>
      <c r="G66" s="7" t="str">
        <f aca="false">IF(OR($E66="",$F66=""),"",$E66-$F66)</f>
        <v/>
      </c>
      <c r="H66" s="7" t="str">
        <f aca="false">IFERROR(IF(INDEX(Items!$E:$E,MATCH($A66,Items!$A:$A,0))="","",INDEX(Items!$E:$E,MATCH($A66,Items!$A:$A,0))),"")</f>
        <v/>
      </c>
      <c r="I66" s="7" t="str">
        <f aca="false">IF($H66="","",IF(IF($F66="",$E66,$F66)="","",IF(IF($F66="",$E66,$F66)&lt;$H66,"ORDER","OK")))</f>
        <v/>
      </c>
    </row>
    <row r="67" customFormat="false" ht="15" hidden="false" customHeight="false" outlineLevel="0" collapsed="false">
      <c r="A67" s="2" t="n">
        <v>64</v>
      </c>
      <c r="B67" s="2" t="s">
        <v>96</v>
      </c>
      <c r="C67" s="2" t="s">
        <v>29</v>
      </c>
      <c r="D67" s="7" t="str">
        <f aca="false">IFERROR(IF(INDEX(Counts!$K:$K,MATCH(TEXT($B$1,"yyyy-mm-dd")&amp;"|Morning|"&amp;$A67,Counts!$I:$I,0))="","",INDEX(Counts!$K:$K,MATCH(TEXT($B$1,"yyyy-mm-dd")&amp;"|Morning|"&amp;$A67,Counts!$I:$I,0))),"")</f>
        <v/>
      </c>
      <c r="E67" s="7" t="str">
        <f aca="false">IF(COUNTIFS(Counts!$I:$I,TEXT($B$1,"yyyy-mm-dd")&amp;"|Morning|"&amp;$A67)=0,"",SUMIFS(Counts!$F:$F,Counts!$I:$I,TEXT($B$1,"yyyy-mm-dd")&amp;"|Morning|"&amp;$A67))</f>
        <v/>
      </c>
      <c r="F67" s="7" t="str">
        <f aca="false">IF(COUNTIFS(Counts!$I:$I,TEXT($B$1,"yyyy-mm-dd")&amp;"|Night|"&amp;$A67)=0,"",SUMIFS(Counts!$F:$F,Counts!$I:$I,TEXT($B$1,"yyyy-mm-dd")&amp;"|Night|"&amp;$A67))</f>
        <v/>
      </c>
      <c r="G67" s="7" t="str">
        <f aca="false">IF(OR($E67="",$F67=""),"",$E67-$F67)</f>
        <v/>
      </c>
      <c r="H67" s="7" t="str">
        <f aca="false">IFERROR(IF(INDEX(Items!$E:$E,MATCH($A67,Items!$A:$A,0))="","",INDEX(Items!$E:$E,MATCH($A67,Items!$A:$A,0))),"")</f>
        <v/>
      </c>
      <c r="I67" s="7" t="str">
        <f aca="false">IF($H67="","",IF(IF($F67="",$E67,$F67)="","",IF(IF($F67="",$E67,$F67)&lt;$H67,"ORDER","OK")))</f>
        <v/>
      </c>
    </row>
    <row r="68" customFormat="false" ht="15" hidden="false" customHeight="false" outlineLevel="0" collapsed="false">
      <c r="A68" s="2" t="n">
        <v>65</v>
      </c>
      <c r="B68" s="2" t="s">
        <v>97</v>
      </c>
      <c r="C68" s="2" t="s">
        <v>83</v>
      </c>
      <c r="D68" s="7" t="str">
        <f aca="false">IFERROR(IF(INDEX(Counts!$K:$K,MATCH(TEXT($B$1,"yyyy-mm-dd")&amp;"|Morning|"&amp;$A68,Counts!$I:$I,0))="","",INDEX(Counts!$K:$K,MATCH(TEXT($B$1,"yyyy-mm-dd")&amp;"|Morning|"&amp;$A68,Counts!$I:$I,0))),"")</f>
        <v/>
      </c>
      <c r="E68" s="7" t="str">
        <f aca="false">IF(COUNTIFS(Counts!$I:$I,TEXT($B$1,"yyyy-mm-dd")&amp;"|Morning|"&amp;$A68)=0,"",SUMIFS(Counts!$F:$F,Counts!$I:$I,TEXT($B$1,"yyyy-mm-dd")&amp;"|Morning|"&amp;$A68))</f>
        <v/>
      </c>
      <c r="F68" s="7" t="str">
        <f aca="false">IF(COUNTIFS(Counts!$I:$I,TEXT($B$1,"yyyy-mm-dd")&amp;"|Night|"&amp;$A68)=0,"",SUMIFS(Counts!$F:$F,Counts!$I:$I,TEXT($B$1,"yyyy-mm-dd")&amp;"|Night|"&amp;$A68))</f>
        <v/>
      </c>
      <c r="G68" s="7" t="str">
        <f aca="false">IF(OR($E68="",$F68=""),"",$E68-$F68)</f>
        <v/>
      </c>
      <c r="H68" s="7" t="str">
        <f aca="false">IFERROR(IF(INDEX(Items!$E:$E,MATCH($A68,Items!$A:$A,0))="","",INDEX(Items!$E:$E,MATCH($A68,Items!$A:$A,0))),"")</f>
        <v/>
      </c>
      <c r="I68" s="7" t="str">
        <f aca="false">IF($H68="","",IF(IF($F68="",$E68,$F68)="","",IF(IF($F68="",$E68,$F68)&lt;$H68,"ORDER","OK")))</f>
        <v/>
      </c>
    </row>
    <row r="69" customFormat="false" ht="15" hidden="false" customHeight="false" outlineLevel="0" collapsed="false">
      <c r="A69" s="2" t="n">
        <v>66</v>
      </c>
      <c r="B69" s="2" t="s">
        <v>98</v>
      </c>
      <c r="C69" s="2" t="s">
        <v>29</v>
      </c>
      <c r="D69" s="7" t="str">
        <f aca="false">IFERROR(IF(INDEX(Counts!$K:$K,MATCH(TEXT($B$1,"yyyy-mm-dd")&amp;"|Morning|"&amp;$A69,Counts!$I:$I,0))="","",INDEX(Counts!$K:$K,MATCH(TEXT($B$1,"yyyy-mm-dd")&amp;"|Morning|"&amp;$A69,Counts!$I:$I,0))),"")</f>
        <v/>
      </c>
      <c r="E69" s="7" t="str">
        <f aca="false">IF(COUNTIFS(Counts!$I:$I,TEXT($B$1,"yyyy-mm-dd")&amp;"|Morning|"&amp;$A69)=0,"",SUMIFS(Counts!$F:$F,Counts!$I:$I,TEXT($B$1,"yyyy-mm-dd")&amp;"|Morning|"&amp;$A69))</f>
        <v/>
      </c>
      <c r="F69" s="7" t="str">
        <f aca="false">IF(COUNTIFS(Counts!$I:$I,TEXT($B$1,"yyyy-mm-dd")&amp;"|Night|"&amp;$A69)=0,"",SUMIFS(Counts!$F:$F,Counts!$I:$I,TEXT($B$1,"yyyy-mm-dd")&amp;"|Night|"&amp;$A69))</f>
        <v/>
      </c>
      <c r="G69" s="7" t="str">
        <f aca="false">IF(OR($E69="",$F69=""),"",$E69-$F69)</f>
        <v/>
      </c>
      <c r="H69" s="7" t="str">
        <f aca="false">IFERROR(IF(INDEX(Items!$E:$E,MATCH($A69,Items!$A:$A,0))="","",INDEX(Items!$E:$E,MATCH($A69,Items!$A:$A,0))),"")</f>
        <v/>
      </c>
      <c r="I69" s="7" t="str">
        <f aca="false">IF($H69="","",IF(IF($F69="",$E69,$F69)="","",IF(IF($F69="",$E69,$F69)&lt;$H69,"ORDER","OK")))</f>
        <v/>
      </c>
    </row>
    <row r="70" customFormat="false" ht="15" hidden="false" customHeight="false" outlineLevel="0" collapsed="false">
      <c r="A70" s="2" t="n">
        <v>67</v>
      </c>
      <c r="B70" s="2" t="s">
        <v>99</v>
      </c>
      <c r="C70" s="2" t="s">
        <v>83</v>
      </c>
      <c r="D70" s="7" t="str">
        <f aca="false">IFERROR(IF(INDEX(Counts!$K:$K,MATCH(TEXT($B$1,"yyyy-mm-dd")&amp;"|Morning|"&amp;$A70,Counts!$I:$I,0))="","",INDEX(Counts!$K:$K,MATCH(TEXT($B$1,"yyyy-mm-dd")&amp;"|Morning|"&amp;$A70,Counts!$I:$I,0))),"")</f>
        <v/>
      </c>
      <c r="E70" s="7" t="str">
        <f aca="false">IF(COUNTIFS(Counts!$I:$I,TEXT($B$1,"yyyy-mm-dd")&amp;"|Morning|"&amp;$A70)=0,"",SUMIFS(Counts!$F:$F,Counts!$I:$I,TEXT($B$1,"yyyy-mm-dd")&amp;"|Morning|"&amp;$A70))</f>
        <v/>
      </c>
      <c r="F70" s="7" t="str">
        <f aca="false">IF(COUNTIFS(Counts!$I:$I,TEXT($B$1,"yyyy-mm-dd")&amp;"|Night|"&amp;$A70)=0,"",SUMIFS(Counts!$F:$F,Counts!$I:$I,TEXT($B$1,"yyyy-mm-dd")&amp;"|Night|"&amp;$A70))</f>
        <v/>
      </c>
      <c r="G70" s="7" t="str">
        <f aca="false">IF(OR($E70="",$F70=""),"",$E70-$F70)</f>
        <v/>
      </c>
      <c r="H70" s="7" t="str">
        <f aca="false">IFERROR(IF(INDEX(Items!$E:$E,MATCH($A70,Items!$A:$A,0))="","",INDEX(Items!$E:$E,MATCH($A70,Items!$A:$A,0))),"")</f>
        <v/>
      </c>
      <c r="I70" s="7" t="str">
        <f aca="false">IF($H70="","",IF(IF($F70="",$E70,$F70)="","",IF(IF($F70="",$E70,$F70)&lt;$H70,"ORDER","OK")))</f>
        <v/>
      </c>
    </row>
    <row r="71" customFormat="false" ht="15" hidden="false" customHeight="false" outlineLevel="0" collapsed="false">
      <c r="A71" s="2" t="n">
        <v>68</v>
      </c>
      <c r="B71" s="2" t="s">
        <v>100</v>
      </c>
      <c r="C71" s="2" t="s">
        <v>92</v>
      </c>
      <c r="D71" s="7" t="str">
        <f aca="false">IFERROR(IF(INDEX(Counts!$K:$K,MATCH(TEXT($B$1,"yyyy-mm-dd")&amp;"|Morning|"&amp;$A71,Counts!$I:$I,0))="","",INDEX(Counts!$K:$K,MATCH(TEXT($B$1,"yyyy-mm-dd")&amp;"|Morning|"&amp;$A71,Counts!$I:$I,0))),"")</f>
        <v/>
      </c>
      <c r="E71" s="7" t="str">
        <f aca="false">IF(COUNTIFS(Counts!$I:$I,TEXT($B$1,"yyyy-mm-dd")&amp;"|Morning|"&amp;$A71)=0,"",SUMIFS(Counts!$F:$F,Counts!$I:$I,TEXT($B$1,"yyyy-mm-dd")&amp;"|Morning|"&amp;$A71))</f>
        <v/>
      </c>
      <c r="F71" s="7" t="str">
        <f aca="false">IF(COUNTIFS(Counts!$I:$I,TEXT($B$1,"yyyy-mm-dd")&amp;"|Night|"&amp;$A71)=0,"",SUMIFS(Counts!$F:$F,Counts!$I:$I,TEXT($B$1,"yyyy-mm-dd")&amp;"|Night|"&amp;$A71))</f>
        <v/>
      </c>
      <c r="G71" s="7" t="str">
        <f aca="false">IF(OR($E71="",$F71=""),"",$E71-$F71)</f>
        <v/>
      </c>
      <c r="H71" s="7" t="str">
        <f aca="false">IFERROR(IF(INDEX(Items!$E:$E,MATCH($A71,Items!$A:$A,0))="","",INDEX(Items!$E:$E,MATCH($A71,Items!$A:$A,0))),"")</f>
        <v/>
      </c>
      <c r="I71" s="7" t="str">
        <f aca="false">IF($H71="","",IF(IF($F71="",$E71,$F71)="","",IF(IF($F71="",$E71,$F71)&lt;$H71,"ORDER","OK")))</f>
        <v/>
      </c>
    </row>
    <row r="72" customFormat="false" ht="15" hidden="false" customHeight="false" outlineLevel="0" collapsed="false">
      <c r="A72" s="2" t="n">
        <v>69</v>
      </c>
      <c r="B72" s="2" t="s">
        <v>101</v>
      </c>
      <c r="C72" s="2" t="s">
        <v>29</v>
      </c>
      <c r="D72" s="7" t="str">
        <f aca="false">IFERROR(IF(INDEX(Counts!$K:$K,MATCH(TEXT($B$1,"yyyy-mm-dd")&amp;"|Morning|"&amp;$A72,Counts!$I:$I,0))="","",INDEX(Counts!$K:$K,MATCH(TEXT($B$1,"yyyy-mm-dd")&amp;"|Morning|"&amp;$A72,Counts!$I:$I,0))),"")</f>
        <v/>
      </c>
      <c r="E72" s="7" t="str">
        <f aca="false">IF(COUNTIFS(Counts!$I:$I,TEXT($B$1,"yyyy-mm-dd")&amp;"|Morning|"&amp;$A72)=0,"",SUMIFS(Counts!$F:$F,Counts!$I:$I,TEXT($B$1,"yyyy-mm-dd")&amp;"|Morning|"&amp;$A72))</f>
        <v/>
      </c>
      <c r="F72" s="7" t="str">
        <f aca="false">IF(COUNTIFS(Counts!$I:$I,TEXT($B$1,"yyyy-mm-dd")&amp;"|Night|"&amp;$A72)=0,"",SUMIFS(Counts!$F:$F,Counts!$I:$I,TEXT($B$1,"yyyy-mm-dd")&amp;"|Night|"&amp;$A72))</f>
        <v/>
      </c>
      <c r="G72" s="7" t="str">
        <f aca="false">IF(OR($E72="",$F72=""),"",$E72-$F72)</f>
        <v/>
      </c>
      <c r="H72" s="7" t="str">
        <f aca="false">IFERROR(IF(INDEX(Items!$E:$E,MATCH($A72,Items!$A:$A,0))="","",INDEX(Items!$E:$E,MATCH($A72,Items!$A:$A,0))),"")</f>
        <v/>
      </c>
      <c r="I72" s="7" t="str">
        <f aca="false">IF($H72="","",IF(IF($F72="",$E72,$F72)="","",IF(IF($F72="",$E72,$F72)&lt;$H72,"ORDER","OK")))</f>
        <v/>
      </c>
    </row>
    <row r="73" customFormat="false" ht="15" hidden="false" customHeight="false" outlineLevel="0" collapsed="false">
      <c r="A73" s="2" t="n">
        <v>70</v>
      </c>
      <c r="B73" s="2" t="s">
        <v>102</v>
      </c>
      <c r="C73" s="2" t="s">
        <v>29</v>
      </c>
      <c r="D73" s="7" t="str">
        <f aca="false">IFERROR(IF(INDEX(Counts!$K:$K,MATCH(TEXT($B$1,"yyyy-mm-dd")&amp;"|Morning|"&amp;$A73,Counts!$I:$I,0))="","",INDEX(Counts!$K:$K,MATCH(TEXT($B$1,"yyyy-mm-dd")&amp;"|Morning|"&amp;$A73,Counts!$I:$I,0))),"")</f>
        <v/>
      </c>
      <c r="E73" s="7" t="str">
        <f aca="false">IF(COUNTIFS(Counts!$I:$I,TEXT($B$1,"yyyy-mm-dd")&amp;"|Morning|"&amp;$A73)=0,"",SUMIFS(Counts!$F:$F,Counts!$I:$I,TEXT($B$1,"yyyy-mm-dd")&amp;"|Morning|"&amp;$A73))</f>
        <v/>
      </c>
      <c r="F73" s="7" t="str">
        <f aca="false">IF(COUNTIFS(Counts!$I:$I,TEXT($B$1,"yyyy-mm-dd")&amp;"|Night|"&amp;$A73)=0,"",SUMIFS(Counts!$F:$F,Counts!$I:$I,TEXT($B$1,"yyyy-mm-dd")&amp;"|Night|"&amp;$A73))</f>
        <v/>
      </c>
      <c r="G73" s="7" t="str">
        <f aca="false">IF(OR($E73="",$F73=""),"",$E73-$F73)</f>
        <v/>
      </c>
      <c r="H73" s="7" t="str">
        <f aca="false">IFERROR(IF(INDEX(Items!$E:$E,MATCH($A73,Items!$A:$A,0))="","",INDEX(Items!$E:$E,MATCH($A73,Items!$A:$A,0))),"")</f>
        <v/>
      </c>
      <c r="I73" s="7" t="str">
        <f aca="false">IF($H73="","",IF(IF($F73="",$E73,$F73)="","",IF(IF($F73="",$E73,$F73)&lt;$H73,"ORDER","OK")))</f>
        <v/>
      </c>
    </row>
    <row r="74" customFormat="false" ht="15" hidden="false" customHeight="false" outlineLevel="0" collapsed="false">
      <c r="A74" s="2" t="n">
        <v>71</v>
      </c>
      <c r="B74" s="2" t="s">
        <v>103</v>
      </c>
      <c r="C74" s="2" t="s">
        <v>29</v>
      </c>
      <c r="D74" s="7" t="str">
        <f aca="false">IFERROR(IF(INDEX(Counts!$K:$K,MATCH(TEXT($B$1,"yyyy-mm-dd")&amp;"|Morning|"&amp;$A74,Counts!$I:$I,0))="","",INDEX(Counts!$K:$K,MATCH(TEXT($B$1,"yyyy-mm-dd")&amp;"|Morning|"&amp;$A74,Counts!$I:$I,0))),"")</f>
        <v/>
      </c>
      <c r="E74" s="7" t="str">
        <f aca="false">IF(COUNTIFS(Counts!$I:$I,TEXT($B$1,"yyyy-mm-dd")&amp;"|Morning|"&amp;$A74)=0,"",SUMIFS(Counts!$F:$F,Counts!$I:$I,TEXT($B$1,"yyyy-mm-dd")&amp;"|Morning|"&amp;$A74))</f>
        <v/>
      </c>
      <c r="F74" s="7" t="str">
        <f aca="false">IF(COUNTIFS(Counts!$I:$I,TEXT($B$1,"yyyy-mm-dd")&amp;"|Night|"&amp;$A74)=0,"",SUMIFS(Counts!$F:$F,Counts!$I:$I,TEXT($B$1,"yyyy-mm-dd")&amp;"|Night|"&amp;$A74))</f>
        <v/>
      </c>
      <c r="G74" s="7" t="str">
        <f aca="false">IF(OR($E74="",$F74=""),"",$E74-$F74)</f>
        <v/>
      </c>
      <c r="H74" s="7" t="str">
        <f aca="false">IFERROR(IF(INDEX(Items!$E:$E,MATCH($A74,Items!$A:$A,0))="","",INDEX(Items!$E:$E,MATCH($A74,Items!$A:$A,0))),"")</f>
        <v/>
      </c>
      <c r="I74" s="7" t="str">
        <f aca="false">IF($H74="","",IF(IF($F74="",$E74,$F74)="","",IF(IF($F74="",$E74,$F74)&lt;$H74,"ORDER","OK")))</f>
        <v/>
      </c>
    </row>
    <row r="75" customFormat="false" ht="15" hidden="false" customHeight="false" outlineLevel="0" collapsed="false">
      <c r="A75" s="2" t="n">
        <v>72</v>
      </c>
      <c r="B75" s="2" t="s">
        <v>104</v>
      </c>
      <c r="C75" s="2" t="s">
        <v>29</v>
      </c>
      <c r="D75" s="7" t="str">
        <f aca="false">IFERROR(IF(INDEX(Counts!$K:$K,MATCH(TEXT($B$1,"yyyy-mm-dd")&amp;"|Morning|"&amp;$A75,Counts!$I:$I,0))="","",INDEX(Counts!$K:$K,MATCH(TEXT($B$1,"yyyy-mm-dd")&amp;"|Morning|"&amp;$A75,Counts!$I:$I,0))),"")</f>
        <v/>
      </c>
      <c r="E75" s="7" t="str">
        <f aca="false">IF(COUNTIFS(Counts!$I:$I,TEXT($B$1,"yyyy-mm-dd")&amp;"|Morning|"&amp;$A75)=0,"",SUMIFS(Counts!$F:$F,Counts!$I:$I,TEXT($B$1,"yyyy-mm-dd")&amp;"|Morning|"&amp;$A75))</f>
        <v/>
      </c>
      <c r="F75" s="7" t="str">
        <f aca="false">IF(COUNTIFS(Counts!$I:$I,TEXT($B$1,"yyyy-mm-dd")&amp;"|Night|"&amp;$A75)=0,"",SUMIFS(Counts!$F:$F,Counts!$I:$I,TEXT($B$1,"yyyy-mm-dd")&amp;"|Night|"&amp;$A75))</f>
        <v/>
      </c>
      <c r="G75" s="7" t="str">
        <f aca="false">IF(OR($E75="",$F75=""),"",$E75-$F75)</f>
        <v/>
      </c>
      <c r="H75" s="7" t="str">
        <f aca="false">IFERROR(IF(INDEX(Items!$E:$E,MATCH($A75,Items!$A:$A,0))="","",INDEX(Items!$E:$E,MATCH($A75,Items!$A:$A,0))),"")</f>
        <v/>
      </c>
      <c r="I75" s="7" t="str">
        <f aca="false">IF($H75="","",IF(IF($F75="",$E75,$F75)="","",IF(IF($F75="",$E75,$F75)&lt;$H75,"ORDER","OK")))</f>
        <v/>
      </c>
    </row>
    <row r="76" customFormat="false" ht="15" hidden="false" customHeight="false" outlineLevel="0" collapsed="false">
      <c r="A76" s="2" t="n">
        <v>73</v>
      </c>
      <c r="B76" s="2" t="s">
        <v>105</v>
      </c>
      <c r="C76" s="2" t="s">
        <v>29</v>
      </c>
      <c r="D76" s="7" t="str">
        <f aca="false">IFERROR(IF(INDEX(Counts!$K:$K,MATCH(TEXT($B$1,"yyyy-mm-dd")&amp;"|Morning|"&amp;$A76,Counts!$I:$I,0))="","",INDEX(Counts!$K:$K,MATCH(TEXT($B$1,"yyyy-mm-dd")&amp;"|Morning|"&amp;$A76,Counts!$I:$I,0))),"")</f>
        <v/>
      </c>
      <c r="E76" s="7" t="str">
        <f aca="false">IF(COUNTIFS(Counts!$I:$I,TEXT($B$1,"yyyy-mm-dd")&amp;"|Morning|"&amp;$A76)=0,"",SUMIFS(Counts!$F:$F,Counts!$I:$I,TEXT($B$1,"yyyy-mm-dd")&amp;"|Morning|"&amp;$A76))</f>
        <v/>
      </c>
      <c r="F76" s="7" t="str">
        <f aca="false">IF(COUNTIFS(Counts!$I:$I,TEXT($B$1,"yyyy-mm-dd")&amp;"|Night|"&amp;$A76)=0,"",SUMIFS(Counts!$F:$F,Counts!$I:$I,TEXT($B$1,"yyyy-mm-dd")&amp;"|Night|"&amp;$A76))</f>
        <v/>
      </c>
      <c r="G76" s="7" t="str">
        <f aca="false">IF(OR($E76="",$F76=""),"",$E76-$F76)</f>
        <v/>
      </c>
      <c r="H76" s="7" t="str">
        <f aca="false">IFERROR(IF(INDEX(Items!$E:$E,MATCH($A76,Items!$A:$A,0))="","",INDEX(Items!$E:$E,MATCH($A76,Items!$A:$A,0))),"")</f>
        <v/>
      </c>
      <c r="I76" s="7" t="str">
        <f aca="false">IF($H76="","",IF(IF($F76="",$E76,$F76)="","",IF(IF($F76="",$E76,$F76)&lt;$H76,"ORDER","OK")))</f>
        <v/>
      </c>
    </row>
    <row r="77" customFormat="false" ht="15" hidden="false" customHeight="false" outlineLevel="0" collapsed="false">
      <c r="A77" s="2" t="n">
        <v>74</v>
      </c>
      <c r="B77" s="2" t="s">
        <v>106</v>
      </c>
      <c r="C77" s="2" t="s">
        <v>29</v>
      </c>
      <c r="D77" s="7" t="str">
        <f aca="false">IFERROR(IF(INDEX(Counts!$K:$K,MATCH(TEXT($B$1,"yyyy-mm-dd")&amp;"|Morning|"&amp;$A77,Counts!$I:$I,0))="","",INDEX(Counts!$K:$K,MATCH(TEXT($B$1,"yyyy-mm-dd")&amp;"|Morning|"&amp;$A77,Counts!$I:$I,0))),"")</f>
        <v/>
      </c>
      <c r="E77" s="7" t="str">
        <f aca="false">IF(COUNTIFS(Counts!$I:$I,TEXT($B$1,"yyyy-mm-dd")&amp;"|Morning|"&amp;$A77)=0,"",SUMIFS(Counts!$F:$F,Counts!$I:$I,TEXT($B$1,"yyyy-mm-dd")&amp;"|Morning|"&amp;$A77))</f>
        <v/>
      </c>
      <c r="F77" s="7" t="str">
        <f aca="false">IF(COUNTIFS(Counts!$I:$I,TEXT($B$1,"yyyy-mm-dd")&amp;"|Night|"&amp;$A77)=0,"",SUMIFS(Counts!$F:$F,Counts!$I:$I,TEXT($B$1,"yyyy-mm-dd")&amp;"|Night|"&amp;$A77))</f>
        <v/>
      </c>
      <c r="G77" s="7" t="str">
        <f aca="false">IF(OR($E77="",$F77=""),"",$E77-$F77)</f>
        <v/>
      </c>
      <c r="H77" s="7" t="str">
        <f aca="false">IFERROR(IF(INDEX(Items!$E:$E,MATCH($A77,Items!$A:$A,0))="","",INDEX(Items!$E:$E,MATCH($A77,Items!$A:$A,0))),"")</f>
        <v/>
      </c>
      <c r="I77" s="7" t="str">
        <f aca="false">IF($H77="","",IF(IF($F77="",$E77,$F77)="","",IF(IF($F77="",$E77,$F77)&lt;$H77,"ORDER","OK")))</f>
        <v/>
      </c>
    </row>
    <row r="78" customFormat="false" ht="15" hidden="false" customHeight="false" outlineLevel="0" collapsed="false">
      <c r="A78" s="2" t="n">
        <v>75</v>
      </c>
      <c r="B78" s="2" t="s">
        <v>107</v>
      </c>
      <c r="C78" s="2" t="s">
        <v>29</v>
      </c>
      <c r="D78" s="7" t="str">
        <f aca="false">IFERROR(IF(INDEX(Counts!$K:$K,MATCH(TEXT($B$1,"yyyy-mm-dd")&amp;"|Morning|"&amp;$A78,Counts!$I:$I,0))="","",INDEX(Counts!$K:$K,MATCH(TEXT($B$1,"yyyy-mm-dd")&amp;"|Morning|"&amp;$A78,Counts!$I:$I,0))),"")</f>
        <v/>
      </c>
      <c r="E78" s="7" t="str">
        <f aca="false">IF(COUNTIFS(Counts!$I:$I,TEXT($B$1,"yyyy-mm-dd")&amp;"|Morning|"&amp;$A78)=0,"",SUMIFS(Counts!$F:$F,Counts!$I:$I,TEXT($B$1,"yyyy-mm-dd")&amp;"|Morning|"&amp;$A78))</f>
        <v/>
      </c>
      <c r="F78" s="7" t="str">
        <f aca="false">IF(COUNTIFS(Counts!$I:$I,TEXT($B$1,"yyyy-mm-dd")&amp;"|Night|"&amp;$A78)=0,"",SUMIFS(Counts!$F:$F,Counts!$I:$I,TEXT($B$1,"yyyy-mm-dd")&amp;"|Night|"&amp;$A78))</f>
        <v/>
      </c>
      <c r="G78" s="7" t="str">
        <f aca="false">IF(OR($E78="",$F78=""),"",$E78-$F78)</f>
        <v/>
      </c>
      <c r="H78" s="7" t="str">
        <f aca="false">IFERROR(IF(INDEX(Items!$E:$E,MATCH($A78,Items!$A:$A,0))="","",INDEX(Items!$E:$E,MATCH($A78,Items!$A:$A,0))),"")</f>
        <v/>
      </c>
      <c r="I78" s="7" t="str">
        <f aca="false">IF($H78="","",IF(IF($F78="",$E78,$F78)="","",IF(IF($F78="",$E78,$F78)&lt;$H78,"ORDER","OK")))</f>
        <v/>
      </c>
    </row>
    <row r="79" customFormat="false" ht="15" hidden="false" customHeight="false" outlineLevel="0" collapsed="false">
      <c r="A79" s="2" t="n">
        <v>76</v>
      </c>
      <c r="B79" s="2" t="s">
        <v>108</v>
      </c>
      <c r="C79" s="2" t="s">
        <v>109</v>
      </c>
      <c r="D79" s="7" t="str">
        <f aca="false">IFERROR(IF(INDEX(Counts!$K:$K,MATCH(TEXT($B$1,"yyyy-mm-dd")&amp;"|Morning|"&amp;$A79,Counts!$I:$I,0))="","",INDEX(Counts!$K:$K,MATCH(TEXT($B$1,"yyyy-mm-dd")&amp;"|Morning|"&amp;$A79,Counts!$I:$I,0))),"")</f>
        <v/>
      </c>
      <c r="E79" s="7" t="str">
        <f aca="false">IF(COUNTIFS(Counts!$I:$I,TEXT($B$1,"yyyy-mm-dd")&amp;"|Morning|"&amp;$A79)=0,"",SUMIFS(Counts!$F:$F,Counts!$I:$I,TEXT($B$1,"yyyy-mm-dd")&amp;"|Morning|"&amp;$A79))</f>
        <v/>
      </c>
      <c r="F79" s="7" t="str">
        <f aca="false">IF(COUNTIFS(Counts!$I:$I,TEXT($B$1,"yyyy-mm-dd")&amp;"|Night|"&amp;$A79)=0,"",SUMIFS(Counts!$F:$F,Counts!$I:$I,TEXT($B$1,"yyyy-mm-dd")&amp;"|Night|"&amp;$A79))</f>
        <v/>
      </c>
      <c r="G79" s="7" t="str">
        <f aca="false">IF(OR($E79="",$F79=""),"",$E79-$F79)</f>
        <v/>
      </c>
      <c r="H79" s="7" t="str">
        <f aca="false">IFERROR(IF(INDEX(Items!$E:$E,MATCH($A79,Items!$A:$A,0))="","",INDEX(Items!$E:$E,MATCH($A79,Items!$A:$A,0))),"")</f>
        <v/>
      </c>
      <c r="I79" s="7" t="str">
        <f aca="false">IF($H79="","",IF(IF($F79="",$E79,$F79)="","",IF(IF($F79="",$E79,$F79)&lt;$H79,"ORDER","OK")))</f>
        <v/>
      </c>
    </row>
    <row r="80" customFormat="false" ht="15" hidden="false" customHeight="false" outlineLevel="0" collapsed="false">
      <c r="A80" s="2" t="n">
        <v>77</v>
      </c>
      <c r="B80" s="2" t="s">
        <v>110</v>
      </c>
      <c r="C80" s="2" t="s">
        <v>109</v>
      </c>
      <c r="D80" s="7" t="str">
        <f aca="false">IFERROR(IF(INDEX(Counts!$K:$K,MATCH(TEXT($B$1,"yyyy-mm-dd")&amp;"|Morning|"&amp;$A80,Counts!$I:$I,0))="","",INDEX(Counts!$K:$K,MATCH(TEXT($B$1,"yyyy-mm-dd")&amp;"|Morning|"&amp;$A80,Counts!$I:$I,0))),"")</f>
        <v/>
      </c>
      <c r="E80" s="7" t="str">
        <f aca="false">IF(COUNTIFS(Counts!$I:$I,TEXT($B$1,"yyyy-mm-dd")&amp;"|Morning|"&amp;$A80)=0,"",SUMIFS(Counts!$F:$F,Counts!$I:$I,TEXT($B$1,"yyyy-mm-dd")&amp;"|Morning|"&amp;$A80))</f>
        <v/>
      </c>
      <c r="F80" s="7" t="str">
        <f aca="false">IF(COUNTIFS(Counts!$I:$I,TEXT($B$1,"yyyy-mm-dd")&amp;"|Night|"&amp;$A80)=0,"",SUMIFS(Counts!$F:$F,Counts!$I:$I,TEXT($B$1,"yyyy-mm-dd")&amp;"|Night|"&amp;$A80))</f>
        <v/>
      </c>
      <c r="G80" s="7" t="str">
        <f aca="false">IF(OR($E80="",$F80=""),"",$E80-$F80)</f>
        <v/>
      </c>
      <c r="H80" s="7" t="str">
        <f aca="false">IFERROR(IF(INDEX(Items!$E:$E,MATCH($A80,Items!$A:$A,0))="","",INDEX(Items!$E:$E,MATCH($A80,Items!$A:$A,0))),"")</f>
        <v/>
      </c>
      <c r="I80" s="7" t="str">
        <f aca="false">IF($H80="","",IF(IF($F80="",$E80,$F80)="","",IF(IF($F80="",$E80,$F80)&lt;$H80,"ORDER","OK")))</f>
        <v/>
      </c>
    </row>
    <row r="81" customFormat="false" ht="15" hidden="false" customHeight="false" outlineLevel="0" collapsed="false">
      <c r="A81" s="2" t="n">
        <v>78</v>
      </c>
      <c r="B81" s="2" t="s">
        <v>111</v>
      </c>
      <c r="C81" s="2" t="s">
        <v>109</v>
      </c>
      <c r="D81" s="7" t="str">
        <f aca="false">IFERROR(IF(INDEX(Counts!$K:$K,MATCH(TEXT($B$1,"yyyy-mm-dd")&amp;"|Morning|"&amp;$A81,Counts!$I:$I,0))="","",INDEX(Counts!$K:$K,MATCH(TEXT($B$1,"yyyy-mm-dd")&amp;"|Morning|"&amp;$A81,Counts!$I:$I,0))),"")</f>
        <v/>
      </c>
      <c r="E81" s="7" t="str">
        <f aca="false">IF(COUNTIFS(Counts!$I:$I,TEXT($B$1,"yyyy-mm-dd")&amp;"|Morning|"&amp;$A81)=0,"",SUMIFS(Counts!$F:$F,Counts!$I:$I,TEXT($B$1,"yyyy-mm-dd")&amp;"|Morning|"&amp;$A81))</f>
        <v/>
      </c>
      <c r="F81" s="7" t="str">
        <f aca="false">IF(COUNTIFS(Counts!$I:$I,TEXT($B$1,"yyyy-mm-dd")&amp;"|Night|"&amp;$A81)=0,"",SUMIFS(Counts!$F:$F,Counts!$I:$I,TEXT($B$1,"yyyy-mm-dd")&amp;"|Night|"&amp;$A81))</f>
        <v/>
      </c>
      <c r="G81" s="7" t="str">
        <f aca="false">IF(OR($E81="",$F81=""),"",$E81-$F81)</f>
        <v/>
      </c>
      <c r="H81" s="7" t="str">
        <f aca="false">IFERROR(IF(INDEX(Items!$E:$E,MATCH($A81,Items!$A:$A,0))="","",INDEX(Items!$E:$E,MATCH($A81,Items!$A:$A,0))),"")</f>
        <v/>
      </c>
      <c r="I81" s="7" t="str">
        <f aca="false">IF($H81="","",IF(IF($F81="",$E81,$F81)="","",IF(IF($F81="",$E81,$F81)&lt;$H81,"ORDER","OK")))</f>
        <v/>
      </c>
    </row>
    <row r="82" customFormat="false" ht="15" hidden="false" customHeight="false" outlineLevel="0" collapsed="false">
      <c r="A82" s="2" t="n">
        <v>79</v>
      </c>
      <c r="B82" s="2" t="s">
        <v>112</v>
      </c>
      <c r="C82" s="2" t="s">
        <v>109</v>
      </c>
      <c r="D82" s="7" t="str">
        <f aca="false">IFERROR(IF(INDEX(Counts!$K:$K,MATCH(TEXT($B$1,"yyyy-mm-dd")&amp;"|Morning|"&amp;$A82,Counts!$I:$I,0))="","",INDEX(Counts!$K:$K,MATCH(TEXT($B$1,"yyyy-mm-dd")&amp;"|Morning|"&amp;$A82,Counts!$I:$I,0))),"")</f>
        <v/>
      </c>
      <c r="E82" s="7" t="str">
        <f aca="false">IF(COUNTIFS(Counts!$I:$I,TEXT($B$1,"yyyy-mm-dd")&amp;"|Morning|"&amp;$A82)=0,"",SUMIFS(Counts!$F:$F,Counts!$I:$I,TEXT($B$1,"yyyy-mm-dd")&amp;"|Morning|"&amp;$A82))</f>
        <v/>
      </c>
      <c r="F82" s="7" t="str">
        <f aca="false">IF(COUNTIFS(Counts!$I:$I,TEXT($B$1,"yyyy-mm-dd")&amp;"|Night|"&amp;$A82)=0,"",SUMIFS(Counts!$F:$F,Counts!$I:$I,TEXT($B$1,"yyyy-mm-dd")&amp;"|Night|"&amp;$A82))</f>
        <v/>
      </c>
      <c r="G82" s="7" t="str">
        <f aca="false">IF(OR($E82="",$F82=""),"",$E82-$F82)</f>
        <v/>
      </c>
      <c r="H82" s="7" t="str">
        <f aca="false">IFERROR(IF(INDEX(Items!$E:$E,MATCH($A82,Items!$A:$A,0))="","",INDEX(Items!$E:$E,MATCH($A82,Items!$A:$A,0))),"")</f>
        <v/>
      </c>
      <c r="I82" s="7" t="str">
        <f aca="false">IF($H82="","",IF(IF($F82="",$E82,$F82)="","",IF(IF($F82="",$E82,$F82)&lt;$H82,"ORDER","OK")))</f>
        <v/>
      </c>
    </row>
    <row r="83" customFormat="false" ht="15" hidden="false" customHeight="false" outlineLevel="0" collapsed="false">
      <c r="A83" s="2" t="n">
        <v>80</v>
      </c>
      <c r="B83" s="2" t="s">
        <v>113</v>
      </c>
      <c r="C83" s="2" t="s">
        <v>109</v>
      </c>
      <c r="D83" s="7" t="str">
        <f aca="false">IFERROR(IF(INDEX(Counts!$K:$K,MATCH(TEXT($B$1,"yyyy-mm-dd")&amp;"|Morning|"&amp;$A83,Counts!$I:$I,0))="","",INDEX(Counts!$K:$K,MATCH(TEXT($B$1,"yyyy-mm-dd")&amp;"|Morning|"&amp;$A83,Counts!$I:$I,0))),"")</f>
        <v/>
      </c>
      <c r="E83" s="7" t="str">
        <f aca="false">IF(COUNTIFS(Counts!$I:$I,TEXT($B$1,"yyyy-mm-dd")&amp;"|Morning|"&amp;$A83)=0,"",SUMIFS(Counts!$F:$F,Counts!$I:$I,TEXT($B$1,"yyyy-mm-dd")&amp;"|Morning|"&amp;$A83))</f>
        <v/>
      </c>
      <c r="F83" s="7" t="str">
        <f aca="false">IF(COUNTIFS(Counts!$I:$I,TEXT($B$1,"yyyy-mm-dd")&amp;"|Night|"&amp;$A83)=0,"",SUMIFS(Counts!$F:$F,Counts!$I:$I,TEXT($B$1,"yyyy-mm-dd")&amp;"|Night|"&amp;$A83))</f>
        <v/>
      </c>
      <c r="G83" s="7" t="str">
        <f aca="false">IF(OR($E83="",$F83=""),"",$E83-$F83)</f>
        <v/>
      </c>
      <c r="H83" s="7" t="str">
        <f aca="false">IFERROR(IF(INDEX(Items!$E:$E,MATCH($A83,Items!$A:$A,0))="","",INDEX(Items!$E:$E,MATCH($A83,Items!$A:$A,0))),"")</f>
        <v/>
      </c>
      <c r="I83" s="7" t="str">
        <f aca="false">IF($H83="","",IF(IF($F83="",$E83,$F83)="","",IF(IF($F83="",$E83,$F83)&lt;$H83,"ORDER","OK")))</f>
        <v/>
      </c>
    </row>
    <row r="84" customFormat="false" ht="15" hidden="false" customHeight="false" outlineLevel="0" collapsed="false">
      <c r="A84" s="2" t="n">
        <v>81</v>
      </c>
      <c r="B84" s="2" t="s">
        <v>114</v>
      </c>
      <c r="C84" s="2" t="s">
        <v>109</v>
      </c>
      <c r="D84" s="7" t="str">
        <f aca="false">IFERROR(IF(INDEX(Counts!$K:$K,MATCH(TEXT($B$1,"yyyy-mm-dd")&amp;"|Morning|"&amp;$A84,Counts!$I:$I,0))="","",INDEX(Counts!$K:$K,MATCH(TEXT($B$1,"yyyy-mm-dd")&amp;"|Morning|"&amp;$A84,Counts!$I:$I,0))),"")</f>
        <v/>
      </c>
      <c r="E84" s="7" t="str">
        <f aca="false">IF(COUNTIFS(Counts!$I:$I,TEXT($B$1,"yyyy-mm-dd")&amp;"|Morning|"&amp;$A84)=0,"",SUMIFS(Counts!$F:$F,Counts!$I:$I,TEXT($B$1,"yyyy-mm-dd")&amp;"|Morning|"&amp;$A84))</f>
        <v/>
      </c>
      <c r="F84" s="7" t="str">
        <f aca="false">IF(COUNTIFS(Counts!$I:$I,TEXT($B$1,"yyyy-mm-dd")&amp;"|Night|"&amp;$A84)=0,"",SUMIFS(Counts!$F:$F,Counts!$I:$I,TEXT($B$1,"yyyy-mm-dd")&amp;"|Night|"&amp;$A84))</f>
        <v/>
      </c>
      <c r="G84" s="7" t="str">
        <f aca="false">IF(OR($E84="",$F84=""),"",$E84-$F84)</f>
        <v/>
      </c>
      <c r="H84" s="7" t="str">
        <f aca="false">IFERROR(IF(INDEX(Items!$E:$E,MATCH($A84,Items!$A:$A,0))="","",INDEX(Items!$E:$E,MATCH($A84,Items!$A:$A,0))),"")</f>
        <v/>
      </c>
      <c r="I84" s="7" t="str">
        <f aca="false">IF($H84="","",IF(IF($F84="",$E84,$F84)="","",IF(IF($F84="",$E84,$F84)&lt;$H84,"ORDER","OK")))</f>
        <v/>
      </c>
    </row>
    <row r="85" customFormat="false" ht="15" hidden="false" customHeight="false" outlineLevel="0" collapsed="false">
      <c r="A85" s="2" t="n">
        <v>82</v>
      </c>
      <c r="B85" s="2" t="s">
        <v>115</v>
      </c>
      <c r="C85" s="2" t="s">
        <v>109</v>
      </c>
      <c r="D85" s="7" t="str">
        <f aca="false">IFERROR(IF(INDEX(Counts!$K:$K,MATCH(TEXT($B$1,"yyyy-mm-dd")&amp;"|Morning|"&amp;$A85,Counts!$I:$I,0))="","",INDEX(Counts!$K:$K,MATCH(TEXT($B$1,"yyyy-mm-dd")&amp;"|Morning|"&amp;$A85,Counts!$I:$I,0))),"")</f>
        <v/>
      </c>
      <c r="E85" s="7" t="str">
        <f aca="false">IF(COUNTIFS(Counts!$I:$I,TEXT($B$1,"yyyy-mm-dd")&amp;"|Morning|"&amp;$A85)=0,"",SUMIFS(Counts!$F:$F,Counts!$I:$I,TEXT($B$1,"yyyy-mm-dd")&amp;"|Morning|"&amp;$A85))</f>
        <v/>
      </c>
      <c r="F85" s="7" t="str">
        <f aca="false">IF(COUNTIFS(Counts!$I:$I,TEXT($B$1,"yyyy-mm-dd")&amp;"|Night|"&amp;$A85)=0,"",SUMIFS(Counts!$F:$F,Counts!$I:$I,TEXT($B$1,"yyyy-mm-dd")&amp;"|Night|"&amp;$A85))</f>
        <v/>
      </c>
      <c r="G85" s="7" t="str">
        <f aca="false">IF(OR($E85="",$F85=""),"",$E85-$F85)</f>
        <v/>
      </c>
      <c r="H85" s="7" t="str">
        <f aca="false">IFERROR(IF(INDEX(Items!$E:$E,MATCH($A85,Items!$A:$A,0))="","",INDEX(Items!$E:$E,MATCH($A85,Items!$A:$A,0))),"")</f>
        <v/>
      </c>
      <c r="I85" s="7" t="str">
        <f aca="false">IF($H85="","",IF(IF($F85="",$E85,$F85)="","",IF(IF($F85="",$E85,$F85)&lt;$H85,"ORDER","OK")))</f>
        <v/>
      </c>
    </row>
    <row r="86" customFormat="false" ht="15" hidden="false" customHeight="false" outlineLevel="0" collapsed="false">
      <c r="A86" s="2" t="n">
        <v>83</v>
      </c>
      <c r="B86" s="2" t="s">
        <v>116</v>
      </c>
      <c r="C86" s="2" t="s">
        <v>109</v>
      </c>
      <c r="D86" s="7" t="str">
        <f aca="false">IFERROR(IF(INDEX(Counts!$K:$K,MATCH(TEXT($B$1,"yyyy-mm-dd")&amp;"|Morning|"&amp;$A86,Counts!$I:$I,0))="","",INDEX(Counts!$K:$K,MATCH(TEXT($B$1,"yyyy-mm-dd")&amp;"|Morning|"&amp;$A86,Counts!$I:$I,0))),"")</f>
        <v/>
      </c>
      <c r="E86" s="7" t="str">
        <f aca="false">IF(COUNTIFS(Counts!$I:$I,TEXT($B$1,"yyyy-mm-dd")&amp;"|Morning|"&amp;$A86)=0,"",SUMIFS(Counts!$F:$F,Counts!$I:$I,TEXT($B$1,"yyyy-mm-dd")&amp;"|Morning|"&amp;$A86))</f>
        <v/>
      </c>
      <c r="F86" s="7" t="str">
        <f aca="false">IF(COUNTIFS(Counts!$I:$I,TEXT($B$1,"yyyy-mm-dd")&amp;"|Night|"&amp;$A86)=0,"",SUMIFS(Counts!$F:$F,Counts!$I:$I,TEXT($B$1,"yyyy-mm-dd")&amp;"|Night|"&amp;$A86))</f>
        <v/>
      </c>
      <c r="G86" s="7" t="str">
        <f aca="false">IF(OR($E86="",$F86=""),"",$E86-$F86)</f>
        <v/>
      </c>
      <c r="H86" s="7" t="str">
        <f aca="false">IFERROR(IF(INDEX(Items!$E:$E,MATCH($A86,Items!$A:$A,0))="","",INDEX(Items!$E:$E,MATCH($A86,Items!$A:$A,0))),"")</f>
        <v/>
      </c>
      <c r="I86" s="7" t="str">
        <f aca="false">IF($H86="","",IF(IF($F86="",$E86,$F86)="","",IF(IF($F86="",$E86,$F86)&lt;$H86,"ORDER","OK")))</f>
        <v/>
      </c>
    </row>
    <row r="87" customFormat="false" ht="15" hidden="false" customHeight="false" outlineLevel="0" collapsed="false">
      <c r="A87" s="2" t="n">
        <v>84</v>
      </c>
      <c r="B87" s="2" t="s">
        <v>117</v>
      </c>
      <c r="C87" s="2" t="s">
        <v>109</v>
      </c>
      <c r="D87" s="7" t="str">
        <f aca="false">IFERROR(IF(INDEX(Counts!$K:$K,MATCH(TEXT($B$1,"yyyy-mm-dd")&amp;"|Morning|"&amp;$A87,Counts!$I:$I,0))="","",INDEX(Counts!$K:$K,MATCH(TEXT($B$1,"yyyy-mm-dd")&amp;"|Morning|"&amp;$A87,Counts!$I:$I,0))),"")</f>
        <v/>
      </c>
      <c r="E87" s="7" t="str">
        <f aca="false">IF(COUNTIFS(Counts!$I:$I,TEXT($B$1,"yyyy-mm-dd")&amp;"|Morning|"&amp;$A87)=0,"",SUMIFS(Counts!$F:$F,Counts!$I:$I,TEXT($B$1,"yyyy-mm-dd")&amp;"|Morning|"&amp;$A87))</f>
        <v/>
      </c>
      <c r="F87" s="7" t="str">
        <f aca="false">IF(COUNTIFS(Counts!$I:$I,TEXT($B$1,"yyyy-mm-dd")&amp;"|Night|"&amp;$A87)=0,"",SUMIFS(Counts!$F:$F,Counts!$I:$I,TEXT($B$1,"yyyy-mm-dd")&amp;"|Night|"&amp;$A87))</f>
        <v/>
      </c>
      <c r="G87" s="7" t="str">
        <f aca="false">IF(OR($E87="",$F87=""),"",$E87-$F87)</f>
        <v/>
      </c>
      <c r="H87" s="7" t="str">
        <f aca="false">IFERROR(IF(INDEX(Items!$E:$E,MATCH($A87,Items!$A:$A,0))="","",INDEX(Items!$E:$E,MATCH($A87,Items!$A:$A,0))),"")</f>
        <v/>
      </c>
      <c r="I87" s="7" t="str">
        <f aca="false">IF($H87="","",IF(IF($F87="",$E87,$F87)="","",IF(IF($F87="",$E87,$F87)&lt;$H87,"ORDER","OK")))</f>
        <v/>
      </c>
    </row>
    <row r="88" customFormat="false" ht="15" hidden="false" customHeight="false" outlineLevel="0" collapsed="false">
      <c r="A88" s="2" t="n">
        <v>85</v>
      </c>
      <c r="B88" s="2" t="s">
        <v>118</v>
      </c>
      <c r="C88" s="2" t="s">
        <v>119</v>
      </c>
      <c r="D88" s="7" t="str">
        <f aca="false">IFERROR(IF(INDEX(Counts!$K:$K,MATCH(TEXT($B$1,"yyyy-mm-dd")&amp;"|Morning|"&amp;$A88,Counts!$I:$I,0))="","",INDEX(Counts!$K:$K,MATCH(TEXT($B$1,"yyyy-mm-dd")&amp;"|Morning|"&amp;$A88,Counts!$I:$I,0))),"")</f>
        <v/>
      </c>
      <c r="E88" s="7" t="str">
        <f aca="false">IF(COUNTIFS(Counts!$I:$I,TEXT($B$1,"yyyy-mm-dd")&amp;"|Morning|"&amp;$A88)=0,"",SUMIFS(Counts!$F:$F,Counts!$I:$I,TEXT($B$1,"yyyy-mm-dd")&amp;"|Morning|"&amp;$A88))</f>
        <v/>
      </c>
      <c r="F88" s="7" t="str">
        <f aca="false">IF(COUNTIFS(Counts!$I:$I,TEXT($B$1,"yyyy-mm-dd")&amp;"|Night|"&amp;$A88)=0,"",SUMIFS(Counts!$F:$F,Counts!$I:$I,TEXT($B$1,"yyyy-mm-dd")&amp;"|Night|"&amp;$A88))</f>
        <v/>
      </c>
      <c r="G88" s="7" t="str">
        <f aca="false">IF(OR($E88="",$F88=""),"",$E88-$F88)</f>
        <v/>
      </c>
      <c r="H88" s="7" t="str">
        <f aca="false">IFERROR(IF(INDEX(Items!$E:$E,MATCH($A88,Items!$A:$A,0))="","",INDEX(Items!$E:$E,MATCH($A88,Items!$A:$A,0))),"")</f>
        <v/>
      </c>
      <c r="I88" s="7" t="str">
        <f aca="false">IF($H88="","",IF(IF($F88="",$E88,$F88)="","",IF(IF($F88="",$E88,$F88)&lt;$H88,"ORDER","OK")))</f>
        <v/>
      </c>
    </row>
    <row r="89" customFormat="false" ht="15" hidden="false" customHeight="false" outlineLevel="0" collapsed="false">
      <c r="A89" s="2" t="n">
        <v>86</v>
      </c>
      <c r="B89" s="2" t="s">
        <v>120</v>
      </c>
      <c r="C89" s="2" t="s">
        <v>119</v>
      </c>
      <c r="D89" s="7" t="str">
        <f aca="false">IFERROR(IF(INDEX(Counts!$K:$K,MATCH(TEXT($B$1,"yyyy-mm-dd")&amp;"|Morning|"&amp;$A89,Counts!$I:$I,0))="","",INDEX(Counts!$K:$K,MATCH(TEXT($B$1,"yyyy-mm-dd")&amp;"|Morning|"&amp;$A89,Counts!$I:$I,0))),"")</f>
        <v/>
      </c>
      <c r="E89" s="7" t="str">
        <f aca="false">IF(COUNTIFS(Counts!$I:$I,TEXT($B$1,"yyyy-mm-dd")&amp;"|Morning|"&amp;$A89)=0,"",SUMIFS(Counts!$F:$F,Counts!$I:$I,TEXT($B$1,"yyyy-mm-dd")&amp;"|Morning|"&amp;$A89))</f>
        <v/>
      </c>
      <c r="F89" s="7" t="str">
        <f aca="false">IF(COUNTIFS(Counts!$I:$I,TEXT($B$1,"yyyy-mm-dd")&amp;"|Night|"&amp;$A89)=0,"",SUMIFS(Counts!$F:$F,Counts!$I:$I,TEXT($B$1,"yyyy-mm-dd")&amp;"|Night|"&amp;$A89))</f>
        <v/>
      </c>
      <c r="G89" s="7" t="str">
        <f aca="false">IF(OR($E89="",$F89=""),"",$E89-$F89)</f>
        <v/>
      </c>
      <c r="H89" s="7" t="str">
        <f aca="false">IFERROR(IF(INDEX(Items!$E:$E,MATCH($A89,Items!$A:$A,0))="","",INDEX(Items!$E:$E,MATCH($A89,Items!$A:$A,0))),"")</f>
        <v/>
      </c>
      <c r="I89" s="7" t="str">
        <f aca="false">IF($H89="","",IF(IF($F89="",$E89,$F89)="","",IF(IF($F89="",$E89,$F89)&lt;$H89,"ORDER","OK")))</f>
        <v/>
      </c>
    </row>
    <row r="90" customFormat="false" ht="15" hidden="false" customHeight="false" outlineLevel="0" collapsed="false">
      <c r="A90" s="2" t="n">
        <v>87</v>
      </c>
      <c r="B90" s="2" t="s">
        <v>121</v>
      </c>
      <c r="C90" s="2" t="s">
        <v>119</v>
      </c>
      <c r="D90" s="7" t="str">
        <f aca="false">IFERROR(IF(INDEX(Counts!$K:$K,MATCH(TEXT($B$1,"yyyy-mm-dd")&amp;"|Morning|"&amp;$A90,Counts!$I:$I,0))="","",INDEX(Counts!$K:$K,MATCH(TEXT($B$1,"yyyy-mm-dd")&amp;"|Morning|"&amp;$A90,Counts!$I:$I,0))),"")</f>
        <v/>
      </c>
      <c r="E90" s="7" t="str">
        <f aca="false">IF(COUNTIFS(Counts!$I:$I,TEXT($B$1,"yyyy-mm-dd")&amp;"|Morning|"&amp;$A90)=0,"",SUMIFS(Counts!$F:$F,Counts!$I:$I,TEXT($B$1,"yyyy-mm-dd")&amp;"|Morning|"&amp;$A90))</f>
        <v/>
      </c>
      <c r="F90" s="7" t="str">
        <f aca="false">IF(COUNTIFS(Counts!$I:$I,TEXT($B$1,"yyyy-mm-dd")&amp;"|Night|"&amp;$A90)=0,"",SUMIFS(Counts!$F:$F,Counts!$I:$I,TEXT($B$1,"yyyy-mm-dd")&amp;"|Night|"&amp;$A90))</f>
        <v/>
      </c>
      <c r="G90" s="7" t="str">
        <f aca="false">IF(OR($E90="",$F90=""),"",$E90-$F90)</f>
        <v/>
      </c>
      <c r="H90" s="7" t="str">
        <f aca="false">IFERROR(IF(INDEX(Items!$E:$E,MATCH($A90,Items!$A:$A,0))="","",INDEX(Items!$E:$E,MATCH($A90,Items!$A:$A,0))),"")</f>
        <v/>
      </c>
      <c r="I90" s="7" t="str">
        <f aca="false">IF($H90="","",IF(IF($F90="",$E90,$F90)="","",IF(IF($F90="",$E90,$F90)&lt;$H90,"ORDER","OK")))</f>
        <v/>
      </c>
    </row>
    <row r="91" customFormat="false" ht="15" hidden="false" customHeight="false" outlineLevel="0" collapsed="false">
      <c r="A91" s="2" t="n">
        <v>88</v>
      </c>
      <c r="B91" s="2" t="s">
        <v>122</v>
      </c>
      <c r="C91" s="2" t="s">
        <v>119</v>
      </c>
      <c r="D91" s="7" t="str">
        <f aca="false">IFERROR(IF(INDEX(Counts!$K:$K,MATCH(TEXT($B$1,"yyyy-mm-dd")&amp;"|Morning|"&amp;$A91,Counts!$I:$I,0))="","",INDEX(Counts!$K:$K,MATCH(TEXT($B$1,"yyyy-mm-dd")&amp;"|Morning|"&amp;$A91,Counts!$I:$I,0))),"")</f>
        <v/>
      </c>
      <c r="E91" s="7" t="str">
        <f aca="false">IF(COUNTIFS(Counts!$I:$I,TEXT($B$1,"yyyy-mm-dd")&amp;"|Morning|"&amp;$A91)=0,"",SUMIFS(Counts!$F:$F,Counts!$I:$I,TEXT($B$1,"yyyy-mm-dd")&amp;"|Morning|"&amp;$A91))</f>
        <v/>
      </c>
      <c r="F91" s="7" t="str">
        <f aca="false">IF(COUNTIFS(Counts!$I:$I,TEXT($B$1,"yyyy-mm-dd")&amp;"|Night|"&amp;$A91)=0,"",SUMIFS(Counts!$F:$F,Counts!$I:$I,TEXT($B$1,"yyyy-mm-dd")&amp;"|Night|"&amp;$A91))</f>
        <v/>
      </c>
      <c r="G91" s="7" t="str">
        <f aca="false">IF(OR($E91="",$F91=""),"",$E91-$F91)</f>
        <v/>
      </c>
      <c r="H91" s="7" t="str">
        <f aca="false">IFERROR(IF(INDEX(Items!$E:$E,MATCH($A91,Items!$A:$A,0))="","",INDEX(Items!$E:$E,MATCH($A91,Items!$A:$A,0))),"")</f>
        <v/>
      </c>
      <c r="I91" s="7" t="str">
        <f aca="false">IF($H91="","",IF(IF($F91="",$E91,$F91)="","",IF(IF($F91="",$E91,$F91)&lt;$H91,"ORDER","OK")))</f>
        <v/>
      </c>
    </row>
    <row r="92" customFormat="false" ht="15" hidden="false" customHeight="false" outlineLevel="0" collapsed="false">
      <c r="A92" s="2" t="n">
        <v>89</v>
      </c>
      <c r="B92" s="2" t="s">
        <v>123</v>
      </c>
      <c r="C92" s="2" t="s">
        <v>92</v>
      </c>
      <c r="D92" s="7" t="str">
        <f aca="false">IFERROR(IF(INDEX(Counts!$K:$K,MATCH(TEXT($B$1,"yyyy-mm-dd")&amp;"|Morning|"&amp;$A92,Counts!$I:$I,0))="","",INDEX(Counts!$K:$K,MATCH(TEXT($B$1,"yyyy-mm-dd")&amp;"|Morning|"&amp;$A92,Counts!$I:$I,0))),"")</f>
        <v/>
      </c>
      <c r="E92" s="7" t="str">
        <f aca="false">IF(COUNTIFS(Counts!$I:$I,TEXT($B$1,"yyyy-mm-dd")&amp;"|Morning|"&amp;$A92)=0,"",SUMIFS(Counts!$F:$F,Counts!$I:$I,TEXT($B$1,"yyyy-mm-dd")&amp;"|Morning|"&amp;$A92))</f>
        <v/>
      </c>
      <c r="F92" s="7" t="str">
        <f aca="false">IF(COUNTIFS(Counts!$I:$I,TEXT($B$1,"yyyy-mm-dd")&amp;"|Night|"&amp;$A92)=0,"",SUMIFS(Counts!$F:$F,Counts!$I:$I,TEXT($B$1,"yyyy-mm-dd")&amp;"|Night|"&amp;$A92))</f>
        <v/>
      </c>
      <c r="G92" s="7" t="str">
        <f aca="false">IF(OR($E92="",$F92=""),"",$E92-$F92)</f>
        <v/>
      </c>
      <c r="H92" s="7" t="str">
        <f aca="false">IFERROR(IF(INDEX(Items!$E:$E,MATCH($A92,Items!$A:$A,0))="","",INDEX(Items!$E:$E,MATCH($A92,Items!$A:$A,0))),"")</f>
        <v/>
      </c>
      <c r="I92" s="7" t="str">
        <f aca="false">IF($H92="","",IF(IF($F92="",$E92,$F92)="","",IF(IF($F92="",$E92,$F92)&lt;$H92,"ORDER","OK")))</f>
        <v/>
      </c>
    </row>
    <row r="93" customFormat="false" ht="15" hidden="false" customHeight="false" outlineLevel="0" collapsed="false">
      <c r="A93" s="2" t="n">
        <v>90</v>
      </c>
      <c r="B93" s="2" t="s">
        <v>124</v>
      </c>
      <c r="C93" s="2" t="s">
        <v>92</v>
      </c>
      <c r="D93" s="7" t="str">
        <f aca="false">IFERROR(IF(INDEX(Counts!$K:$K,MATCH(TEXT($B$1,"yyyy-mm-dd")&amp;"|Morning|"&amp;$A93,Counts!$I:$I,0))="","",INDEX(Counts!$K:$K,MATCH(TEXT($B$1,"yyyy-mm-dd")&amp;"|Morning|"&amp;$A93,Counts!$I:$I,0))),"")</f>
        <v/>
      </c>
      <c r="E93" s="7" t="str">
        <f aca="false">IF(COUNTIFS(Counts!$I:$I,TEXT($B$1,"yyyy-mm-dd")&amp;"|Morning|"&amp;$A93)=0,"",SUMIFS(Counts!$F:$F,Counts!$I:$I,TEXT($B$1,"yyyy-mm-dd")&amp;"|Morning|"&amp;$A93))</f>
        <v/>
      </c>
      <c r="F93" s="7" t="str">
        <f aca="false">IF(COUNTIFS(Counts!$I:$I,TEXT($B$1,"yyyy-mm-dd")&amp;"|Night|"&amp;$A93)=0,"",SUMIFS(Counts!$F:$F,Counts!$I:$I,TEXT($B$1,"yyyy-mm-dd")&amp;"|Night|"&amp;$A93))</f>
        <v/>
      </c>
      <c r="G93" s="7" t="str">
        <f aca="false">IF(OR($E93="",$F93=""),"",$E93-$F93)</f>
        <v/>
      </c>
      <c r="H93" s="7" t="str">
        <f aca="false">IFERROR(IF(INDEX(Items!$E:$E,MATCH($A93,Items!$A:$A,0))="","",INDEX(Items!$E:$E,MATCH($A93,Items!$A:$A,0))),"")</f>
        <v/>
      </c>
      <c r="I93" s="7" t="str">
        <f aca="false">IF($H93="","",IF(IF($F93="",$E93,$F93)="","",IF(IF($F93="",$E93,$F93)&lt;$H93,"ORDER","OK")))</f>
        <v/>
      </c>
    </row>
    <row r="94" customFormat="false" ht="15" hidden="false" customHeight="false" outlineLevel="0" collapsed="false">
      <c r="A94" s="2" t="n">
        <v>91</v>
      </c>
      <c r="B94" s="2" t="s">
        <v>125</v>
      </c>
      <c r="C94" s="2" t="s">
        <v>109</v>
      </c>
      <c r="D94" s="7" t="str">
        <f aca="false">IFERROR(IF(INDEX(Counts!$K:$K,MATCH(TEXT($B$1,"yyyy-mm-dd")&amp;"|Morning|"&amp;$A94,Counts!$I:$I,0))="","",INDEX(Counts!$K:$K,MATCH(TEXT($B$1,"yyyy-mm-dd")&amp;"|Morning|"&amp;$A94,Counts!$I:$I,0))),"")</f>
        <v/>
      </c>
      <c r="E94" s="7" t="str">
        <f aca="false">IF(COUNTIFS(Counts!$I:$I,TEXT($B$1,"yyyy-mm-dd")&amp;"|Morning|"&amp;$A94)=0,"",SUMIFS(Counts!$F:$F,Counts!$I:$I,TEXT($B$1,"yyyy-mm-dd")&amp;"|Morning|"&amp;$A94))</f>
        <v/>
      </c>
      <c r="F94" s="7" t="str">
        <f aca="false">IF(COUNTIFS(Counts!$I:$I,TEXT($B$1,"yyyy-mm-dd")&amp;"|Night|"&amp;$A94)=0,"",SUMIFS(Counts!$F:$F,Counts!$I:$I,TEXT($B$1,"yyyy-mm-dd")&amp;"|Night|"&amp;$A94))</f>
        <v/>
      </c>
      <c r="G94" s="7" t="str">
        <f aca="false">IF(OR($E94="",$F94=""),"",$E94-$F94)</f>
        <v/>
      </c>
      <c r="H94" s="7" t="str">
        <f aca="false">IFERROR(IF(INDEX(Items!$E:$E,MATCH($A94,Items!$A:$A,0))="","",INDEX(Items!$E:$E,MATCH($A94,Items!$A:$A,0))),"")</f>
        <v/>
      </c>
      <c r="I94" s="7" t="str">
        <f aca="false">IF($H94="","",IF(IF($F94="",$E94,$F94)="","",IF(IF($F94="",$E94,$F94)&lt;$H94,"ORDER","OK")))</f>
        <v/>
      </c>
    </row>
    <row r="95" customFormat="false" ht="15" hidden="false" customHeight="false" outlineLevel="0" collapsed="false">
      <c r="A95" s="2" t="n">
        <v>92</v>
      </c>
      <c r="B95" s="2" t="s">
        <v>126</v>
      </c>
      <c r="C95" s="2" t="s">
        <v>119</v>
      </c>
      <c r="D95" s="7" t="str">
        <f aca="false">IFERROR(IF(INDEX(Counts!$K:$K,MATCH(TEXT($B$1,"yyyy-mm-dd")&amp;"|Morning|"&amp;$A95,Counts!$I:$I,0))="","",INDEX(Counts!$K:$K,MATCH(TEXT($B$1,"yyyy-mm-dd")&amp;"|Morning|"&amp;$A95,Counts!$I:$I,0))),"")</f>
        <v/>
      </c>
      <c r="E95" s="7" t="str">
        <f aca="false">IF(COUNTIFS(Counts!$I:$I,TEXT($B$1,"yyyy-mm-dd")&amp;"|Morning|"&amp;$A95)=0,"",SUMIFS(Counts!$F:$F,Counts!$I:$I,TEXT($B$1,"yyyy-mm-dd")&amp;"|Morning|"&amp;$A95))</f>
        <v/>
      </c>
      <c r="F95" s="7" t="str">
        <f aca="false">IF(COUNTIFS(Counts!$I:$I,TEXT($B$1,"yyyy-mm-dd")&amp;"|Night|"&amp;$A95)=0,"",SUMIFS(Counts!$F:$F,Counts!$I:$I,TEXT($B$1,"yyyy-mm-dd")&amp;"|Night|"&amp;$A95))</f>
        <v/>
      </c>
      <c r="G95" s="7" t="str">
        <f aca="false">IF(OR($E95="",$F95=""),"",$E95-$F95)</f>
        <v/>
      </c>
      <c r="H95" s="7" t="str">
        <f aca="false">IFERROR(IF(INDEX(Items!$E:$E,MATCH($A95,Items!$A:$A,0))="","",INDEX(Items!$E:$E,MATCH($A95,Items!$A:$A,0))),"")</f>
        <v/>
      </c>
      <c r="I95" s="7" t="str">
        <f aca="false">IF($H95="","",IF(IF($F95="",$E95,$F95)="","",IF(IF($F95="",$E95,$F95)&lt;$H95,"ORDER","OK")))</f>
        <v/>
      </c>
    </row>
    <row r="96" customFormat="false" ht="15" hidden="false" customHeight="false" outlineLevel="0" collapsed="false">
      <c r="A96" s="2" t="n">
        <v>93</v>
      </c>
      <c r="B96" s="2" t="s">
        <v>127</v>
      </c>
      <c r="C96" s="2" t="s">
        <v>119</v>
      </c>
      <c r="D96" s="7" t="str">
        <f aca="false">IFERROR(IF(INDEX(Counts!$K:$K,MATCH(TEXT($B$1,"yyyy-mm-dd")&amp;"|Morning|"&amp;$A96,Counts!$I:$I,0))="","",INDEX(Counts!$K:$K,MATCH(TEXT($B$1,"yyyy-mm-dd")&amp;"|Morning|"&amp;$A96,Counts!$I:$I,0))),"")</f>
        <v/>
      </c>
      <c r="E96" s="7" t="str">
        <f aca="false">IF(COUNTIFS(Counts!$I:$I,TEXT($B$1,"yyyy-mm-dd")&amp;"|Morning|"&amp;$A96)=0,"",SUMIFS(Counts!$F:$F,Counts!$I:$I,TEXT($B$1,"yyyy-mm-dd")&amp;"|Morning|"&amp;$A96))</f>
        <v/>
      </c>
      <c r="F96" s="7" t="str">
        <f aca="false">IF(COUNTIFS(Counts!$I:$I,TEXT($B$1,"yyyy-mm-dd")&amp;"|Night|"&amp;$A96)=0,"",SUMIFS(Counts!$F:$F,Counts!$I:$I,TEXT($B$1,"yyyy-mm-dd")&amp;"|Night|"&amp;$A96))</f>
        <v/>
      </c>
      <c r="G96" s="7" t="str">
        <f aca="false">IF(OR($E96="",$F96=""),"",$E96-$F96)</f>
        <v/>
      </c>
      <c r="H96" s="7" t="str">
        <f aca="false">IFERROR(IF(INDEX(Items!$E:$E,MATCH($A96,Items!$A:$A,0))="","",INDEX(Items!$E:$E,MATCH($A96,Items!$A:$A,0))),"")</f>
        <v/>
      </c>
      <c r="I96" s="7" t="str">
        <f aca="false">IF($H96="","",IF(IF($F96="",$E96,$F96)="","",IF(IF($F96="",$E96,$F96)&lt;$H96,"ORDER","OK")))</f>
        <v/>
      </c>
    </row>
    <row r="97" customFormat="false" ht="15" hidden="false" customHeight="false" outlineLevel="0" collapsed="false">
      <c r="A97" s="2" t="n">
        <v>94</v>
      </c>
      <c r="B97" s="2" t="s">
        <v>128</v>
      </c>
      <c r="C97" s="2" t="s">
        <v>119</v>
      </c>
      <c r="D97" s="7" t="str">
        <f aca="false">IFERROR(IF(INDEX(Counts!$K:$K,MATCH(TEXT($B$1,"yyyy-mm-dd")&amp;"|Morning|"&amp;$A97,Counts!$I:$I,0))="","",INDEX(Counts!$K:$K,MATCH(TEXT($B$1,"yyyy-mm-dd")&amp;"|Morning|"&amp;$A97,Counts!$I:$I,0))),"")</f>
        <v/>
      </c>
      <c r="E97" s="7" t="str">
        <f aca="false">IF(COUNTIFS(Counts!$I:$I,TEXT($B$1,"yyyy-mm-dd")&amp;"|Morning|"&amp;$A97)=0,"",SUMIFS(Counts!$F:$F,Counts!$I:$I,TEXT($B$1,"yyyy-mm-dd")&amp;"|Morning|"&amp;$A97))</f>
        <v/>
      </c>
      <c r="F97" s="7" t="str">
        <f aca="false">IF(COUNTIFS(Counts!$I:$I,TEXT($B$1,"yyyy-mm-dd")&amp;"|Night|"&amp;$A97)=0,"",SUMIFS(Counts!$F:$F,Counts!$I:$I,TEXT($B$1,"yyyy-mm-dd")&amp;"|Night|"&amp;$A97))</f>
        <v/>
      </c>
      <c r="G97" s="7" t="str">
        <f aca="false">IF(OR($E97="",$F97=""),"",$E97-$F97)</f>
        <v/>
      </c>
      <c r="H97" s="7" t="str">
        <f aca="false">IFERROR(IF(INDEX(Items!$E:$E,MATCH($A97,Items!$A:$A,0))="","",INDEX(Items!$E:$E,MATCH($A97,Items!$A:$A,0))),"")</f>
        <v/>
      </c>
      <c r="I97" s="7" t="str">
        <f aca="false">IF($H97="","",IF(IF($F97="",$E97,$F97)="","",IF(IF($F97="",$E97,$F97)&lt;$H97,"ORDER","OK")))</f>
        <v/>
      </c>
    </row>
    <row r="98" customFormat="false" ht="15" hidden="false" customHeight="false" outlineLevel="0" collapsed="false">
      <c r="A98" s="2" t="n">
        <v>95</v>
      </c>
      <c r="B98" s="2" t="s">
        <v>129</v>
      </c>
      <c r="C98" s="2" t="s">
        <v>119</v>
      </c>
      <c r="D98" s="7" t="str">
        <f aca="false">IFERROR(IF(INDEX(Counts!$K:$K,MATCH(TEXT($B$1,"yyyy-mm-dd")&amp;"|Morning|"&amp;$A98,Counts!$I:$I,0))="","",INDEX(Counts!$K:$K,MATCH(TEXT($B$1,"yyyy-mm-dd")&amp;"|Morning|"&amp;$A98,Counts!$I:$I,0))),"")</f>
        <v/>
      </c>
      <c r="E98" s="7" t="str">
        <f aca="false">IF(COUNTIFS(Counts!$I:$I,TEXT($B$1,"yyyy-mm-dd")&amp;"|Morning|"&amp;$A98)=0,"",SUMIFS(Counts!$F:$F,Counts!$I:$I,TEXT($B$1,"yyyy-mm-dd")&amp;"|Morning|"&amp;$A98))</f>
        <v/>
      </c>
      <c r="F98" s="7" t="str">
        <f aca="false">IF(COUNTIFS(Counts!$I:$I,TEXT($B$1,"yyyy-mm-dd")&amp;"|Night|"&amp;$A98)=0,"",SUMIFS(Counts!$F:$F,Counts!$I:$I,TEXT($B$1,"yyyy-mm-dd")&amp;"|Night|"&amp;$A98))</f>
        <v/>
      </c>
      <c r="G98" s="7" t="str">
        <f aca="false">IF(OR($E98="",$F98=""),"",$E98-$F98)</f>
        <v/>
      </c>
      <c r="H98" s="7" t="str">
        <f aca="false">IFERROR(IF(INDEX(Items!$E:$E,MATCH($A98,Items!$A:$A,0))="","",INDEX(Items!$E:$E,MATCH($A98,Items!$A:$A,0))),"")</f>
        <v/>
      </c>
      <c r="I98" s="7" t="str">
        <f aca="false">IF($H98="","",IF(IF($F98="",$E98,$F98)="","",IF(IF($F98="",$E98,$F98)&lt;$H98,"ORDER","OK")))</f>
        <v/>
      </c>
    </row>
    <row r="99" customFormat="false" ht="15" hidden="false" customHeight="false" outlineLevel="0" collapsed="false">
      <c r="A99" s="2" t="n">
        <v>96</v>
      </c>
      <c r="B99" s="2" t="s">
        <v>130</v>
      </c>
      <c r="C99" s="2" t="s">
        <v>109</v>
      </c>
      <c r="D99" s="7" t="str">
        <f aca="false">IFERROR(IF(INDEX(Counts!$K:$K,MATCH(TEXT($B$1,"yyyy-mm-dd")&amp;"|Morning|"&amp;$A99,Counts!$I:$I,0))="","",INDEX(Counts!$K:$K,MATCH(TEXT($B$1,"yyyy-mm-dd")&amp;"|Morning|"&amp;$A99,Counts!$I:$I,0))),"")</f>
        <v/>
      </c>
      <c r="E99" s="7" t="str">
        <f aca="false">IF(COUNTIFS(Counts!$I:$I,TEXT($B$1,"yyyy-mm-dd")&amp;"|Morning|"&amp;$A99)=0,"",SUMIFS(Counts!$F:$F,Counts!$I:$I,TEXT($B$1,"yyyy-mm-dd")&amp;"|Morning|"&amp;$A99))</f>
        <v/>
      </c>
      <c r="F99" s="7" t="str">
        <f aca="false">IF(COUNTIFS(Counts!$I:$I,TEXT($B$1,"yyyy-mm-dd")&amp;"|Night|"&amp;$A99)=0,"",SUMIFS(Counts!$F:$F,Counts!$I:$I,TEXT($B$1,"yyyy-mm-dd")&amp;"|Night|"&amp;$A99))</f>
        <v/>
      </c>
      <c r="G99" s="7" t="str">
        <f aca="false">IF(OR($E99="",$F99=""),"",$E99-$F99)</f>
        <v/>
      </c>
      <c r="H99" s="7" t="str">
        <f aca="false">IFERROR(IF(INDEX(Items!$E:$E,MATCH($A99,Items!$A:$A,0))="","",INDEX(Items!$E:$E,MATCH($A99,Items!$A:$A,0))),"")</f>
        <v/>
      </c>
      <c r="I99" s="7" t="str">
        <f aca="false">IF($H99="","",IF(IF($F99="",$E99,$F99)="","",IF(IF($F99="",$E99,$F99)&lt;$H99,"ORDER","OK")))</f>
        <v/>
      </c>
    </row>
    <row r="100" customFormat="false" ht="15" hidden="false" customHeight="false" outlineLevel="0" collapsed="false">
      <c r="A100" s="2" t="n">
        <v>97</v>
      </c>
      <c r="B100" s="2" t="s">
        <v>131</v>
      </c>
      <c r="C100" s="2" t="s">
        <v>109</v>
      </c>
      <c r="D100" s="7" t="str">
        <f aca="false">IFERROR(IF(INDEX(Counts!$K:$K,MATCH(TEXT($B$1,"yyyy-mm-dd")&amp;"|Morning|"&amp;$A100,Counts!$I:$I,0))="","",INDEX(Counts!$K:$K,MATCH(TEXT($B$1,"yyyy-mm-dd")&amp;"|Morning|"&amp;$A100,Counts!$I:$I,0))),"")</f>
        <v/>
      </c>
      <c r="E100" s="7" t="str">
        <f aca="false">IF(COUNTIFS(Counts!$I:$I,TEXT($B$1,"yyyy-mm-dd")&amp;"|Morning|"&amp;$A100)=0,"",SUMIFS(Counts!$F:$F,Counts!$I:$I,TEXT($B$1,"yyyy-mm-dd")&amp;"|Morning|"&amp;$A100))</f>
        <v/>
      </c>
      <c r="F100" s="7" t="str">
        <f aca="false">IF(COUNTIFS(Counts!$I:$I,TEXT($B$1,"yyyy-mm-dd")&amp;"|Night|"&amp;$A100)=0,"",SUMIFS(Counts!$F:$F,Counts!$I:$I,TEXT($B$1,"yyyy-mm-dd")&amp;"|Night|"&amp;$A100))</f>
        <v/>
      </c>
      <c r="G100" s="7" t="str">
        <f aca="false">IF(OR($E100="",$F100=""),"",$E100-$F100)</f>
        <v/>
      </c>
      <c r="H100" s="7" t="str">
        <f aca="false">IFERROR(IF(INDEX(Items!$E:$E,MATCH($A100,Items!$A:$A,0))="","",INDEX(Items!$E:$E,MATCH($A100,Items!$A:$A,0))),"")</f>
        <v/>
      </c>
      <c r="I100" s="7" t="str">
        <f aca="false">IF($H100="","",IF(IF($F100="",$E100,$F100)="","",IF(IF($F100="",$E100,$F100)&lt;$H100,"ORDER","OK")))</f>
        <v/>
      </c>
    </row>
    <row r="101" customFormat="false" ht="15" hidden="false" customHeight="false" outlineLevel="0" collapsed="false">
      <c r="A101" s="2" t="n">
        <v>98</v>
      </c>
      <c r="B101" s="2" t="s">
        <v>132</v>
      </c>
      <c r="C101" s="2" t="s">
        <v>109</v>
      </c>
      <c r="D101" s="7" t="str">
        <f aca="false">IFERROR(IF(INDEX(Counts!$K:$K,MATCH(TEXT($B$1,"yyyy-mm-dd")&amp;"|Morning|"&amp;$A101,Counts!$I:$I,0))="","",INDEX(Counts!$K:$K,MATCH(TEXT($B$1,"yyyy-mm-dd")&amp;"|Morning|"&amp;$A101,Counts!$I:$I,0))),"")</f>
        <v/>
      </c>
      <c r="E101" s="7" t="str">
        <f aca="false">IF(COUNTIFS(Counts!$I:$I,TEXT($B$1,"yyyy-mm-dd")&amp;"|Morning|"&amp;$A101)=0,"",SUMIFS(Counts!$F:$F,Counts!$I:$I,TEXT($B$1,"yyyy-mm-dd")&amp;"|Morning|"&amp;$A101))</f>
        <v/>
      </c>
      <c r="F101" s="7" t="str">
        <f aca="false">IF(COUNTIFS(Counts!$I:$I,TEXT($B$1,"yyyy-mm-dd")&amp;"|Night|"&amp;$A101)=0,"",SUMIFS(Counts!$F:$F,Counts!$I:$I,TEXT($B$1,"yyyy-mm-dd")&amp;"|Night|"&amp;$A101))</f>
        <v/>
      </c>
      <c r="G101" s="7" t="str">
        <f aca="false">IF(OR($E101="",$F101=""),"",$E101-$F101)</f>
        <v/>
      </c>
      <c r="H101" s="7" t="str">
        <f aca="false">IFERROR(IF(INDEX(Items!$E:$E,MATCH($A101,Items!$A:$A,0))="","",INDEX(Items!$E:$E,MATCH($A101,Items!$A:$A,0))),"")</f>
        <v/>
      </c>
      <c r="I101" s="7" t="str">
        <f aca="false">IF($H101="","",IF(IF($F101="",$E101,$F101)="","",IF(IF($F101="",$E101,$F101)&lt;$H101,"ORDER","OK")))</f>
        <v/>
      </c>
    </row>
    <row r="102" customFormat="false" ht="15" hidden="false" customHeight="false" outlineLevel="0" collapsed="false">
      <c r="A102" s="2" t="n">
        <v>99</v>
      </c>
      <c r="B102" s="2" t="s">
        <v>133</v>
      </c>
      <c r="C102" s="2" t="s">
        <v>109</v>
      </c>
      <c r="D102" s="7" t="str">
        <f aca="false">IFERROR(IF(INDEX(Counts!$K:$K,MATCH(TEXT($B$1,"yyyy-mm-dd")&amp;"|Morning|"&amp;$A102,Counts!$I:$I,0))="","",INDEX(Counts!$K:$K,MATCH(TEXT($B$1,"yyyy-mm-dd")&amp;"|Morning|"&amp;$A102,Counts!$I:$I,0))),"")</f>
        <v/>
      </c>
      <c r="E102" s="7" t="str">
        <f aca="false">IF(COUNTIFS(Counts!$I:$I,TEXT($B$1,"yyyy-mm-dd")&amp;"|Morning|"&amp;$A102)=0,"",SUMIFS(Counts!$F:$F,Counts!$I:$I,TEXT($B$1,"yyyy-mm-dd")&amp;"|Morning|"&amp;$A102))</f>
        <v/>
      </c>
      <c r="F102" s="7" t="str">
        <f aca="false">IF(COUNTIFS(Counts!$I:$I,TEXT($B$1,"yyyy-mm-dd")&amp;"|Night|"&amp;$A102)=0,"",SUMIFS(Counts!$F:$F,Counts!$I:$I,TEXT($B$1,"yyyy-mm-dd")&amp;"|Night|"&amp;$A102))</f>
        <v/>
      </c>
      <c r="G102" s="7" t="str">
        <f aca="false">IF(OR($E102="",$F102=""),"",$E102-$F102)</f>
        <v/>
      </c>
      <c r="H102" s="7" t="str">
        <f aca="false">IFERROR(IF(INDEX(Items!$E:$E,MATCH($A102,Items!$A:$A,0))="","",INDEX(Items!$E:$E,MATCH($A102,Items!$A:$A,0))),"")</f>
        <v/>
      </c>
      <c r="I102" s="7" t="str">
        <f aca="false">IF($H102="","",IF(IF($F102="",$E102,$F102)="","",IF(IF($F102="",$E102,$F102)&lt;$H102,"ORDER","OK")))</f>
        <v/>
      </c>
    </row>
    <row r="103" customFormat="false" ht="15" hidden="false" customHeight="false" outlineLevel="0" collapsed="false">
      <c r="A103" s="2" t="n">
        <v>100</v>
      </c>
      <c r="B103" s="2" t="s">
        <v>134</v>
      </c>
      <c r="C103" s="2" t="s">
        <v>109</v>
      </c>
      <c r="D103" s="7" t="str">
        <f aca="false">IFERROR(IF(INDEX(Counts!$K:$K,MATCH(TEXT($B$1,"yyyy-mm-dd")&amp;"|Morning|"&amp;$A103,Counts!$I:$I,0))="","",INDEX(Counts!$K:$K,MATCH(TEXT($B$1,"yyyy-mm-dd")&amp;"|Morning|"&amp;$A103,Counts!$I:$I,0))),"")</f>
        <v/>
      </c>
      <c r="E103" s="7" t="str">
        <f aca="false">IF(COUNTIFS(Counts!$I:$I,TEXT($B$1,"yyyy-mm-dd")&amp;"|Morning|"&amp;$A103)=0,"",SUMIFS(Counts!$F:$F,Counts!$I:$I,TEXT($B$1,"yyyy-mm-dd")&amp;"|Morning|"&amp;$A103))</f>
        <v/>
      </c>
      <c r="F103" s="7" t="str">
        <f aca="false">IF(COUNTIFS(Counts!$I:$I,TEXT($B$1,"yyyy-mm-dd")&amp;"|Night|"&amp;$A103)=0,"",SUMIFS(Counts!$F:$F,Counts!$I:$I,TEXT($B$1,"yyyy-mm-dd")&amp;"|Night|"&amp;$A103))</f>
        <v/>
      </c>
      <c r="G103" s="7" t="str">
        <f aca="false">IF(OR($E103="",$F103=""),"",$E103-$F103)</f>
        <v/>
      </c>
      <c r="H103" s="7" t="str">
        <f aca="false">IFERROR(IF(INDEX(Items!$E:$E,MATCH($A103,Items!$A:$A,0))="","",INDEX(Items!$E:$E,MATCH($A103,Items!$A:$A,0))),"")</f>
        <v/>
      </c>
      <c r="I103" s="7" t="str">
        <f aca="false">IF($H103="","",IF(IF($F103="",$E103,$F103)="","",IF(IF($F103="",$E103,$F103)&lt;$H103,"ORDER","OK")))</f>
        <v/>
      </c>
    </row>
    <row r="104" customFormat="false" ht="15" hidden="false" customHeight="false" outlineLevel="0" collapsed="false">
      <c r="A104" s="2" t="n">
        <v>101</v>
      </c>
      <c r="B104" s="2" t="s">
        <v>135</v>
      </c>
      <c r="C104" s="2" t="s">
        <v>92</v>
      </c>
      <c r="D104" s="7" t="str">
        <f aca="false">IFERROR(IF(INDEX(Counts!$K:$K,MATCH(TEXT($B$1,"yyyy-mm-dd")&amp;"|Morning|"&amp;$A104,Counts!$I:$I,0))="","",INDEX(Counts!$K:$K,MATCH(TEXT($B$1,"yyyy-mm-dd")&amp;"|Morning|"&amp;$A104,Counts!$I:$I,0))),"")</f>
        <v/>
      </c>
      <c r="E104" s="7" t="str">
        <f aca="false">IF(COUNTIFS(Counts!$I:$I,TEXT($B$1,"yyyy-mm-dd")&amp;"|Morning|"&amp;$A104)=0,"",SUMIFS(Counts!$F:$F,Counts!$I:$I,TEXT($B$1,"yyyy-mm-dd")&amp;"|Morning|"&amp;$A104))</f>
        <v/>
      </c>
      <c r="F104" s="7" t="str">
        <f aca="false">IF(COUNTIFS(Counts!$I:$I,TEXT($B$1,"yyyy-mm-dd")&amp;"|Night|"&amp;$A104)=0,"",SUMIFS(Counts!$F:$F,Counts!$I:$I,TEXT($B$1,"yyyy-mm-dd")&amp;"|Night|"&amp;$A104))</f>
        <v/>
      </c>
      <c r="G104" s="7" t="str">
        <f aca="false">IF(OR($E104="",$F104=""),"",$E104-$F104)</f>
        <v/>
      </c>
      <c r="H104" s="7" t="str">
        <f aca="false">IFERROR(IF(INDEX(Items!$E:$E,MATCH($A104,Items!$A:$A,0))="","",INDEX(Items!$E:$E,MATCH($A104,Items!$A:$A,0))),"")</f>
        <v/>
      </c>
      <c r="I104" s="7" t="str">
        <f aca="false">IF($H104="","",IF(IF($F104="",$E104,$F104)="","",IF(IF($F104="",$E104,$F104)&lt;$H104,"ORDER","OK")))</f>
        <v/>
      </c>
    </row>
    <row r="105" customFormat="false" ht="15" hidden="false" customHeight="false" outlineLevel="0" collapsed="false">
      <c r="A105" s="2" t="n">
        <v>102</v>
      </c>
      <c r="B105" s="2" t="s">
        <v>136</v>
      </c>
      <c r="C105" s="2" t="s">
        <v>92</v>
      </c>
      <c r="D105" s="7" t="str">
        <f aca="false">IFERROR(IF(INDEX(Counts!$K:$K,MATCH(TEXT($B$1,"yyyy-mm-dd")&amp;"|Morning|"&amp;$A105,Counts!$I:$I,0))="","",INDEX(Counts!$K:$K,MATCH(TEXT($B$1,"yyyy-mm-dd")&amp;"|Morning|"&amp;$A105,Counts!$I:$I,0))),"")</f>
        <v/>
      </c>
      <c r="E105" s="7" t="str">
        <f aca="false">IF(COUNTIFS(Counts!$I:$I,TEXT($B$1,"yyyy-mm-dd")&amp;"|Morning|"&amp;$A105)=0,"",SUMIFS(Counts!$F:$F,Counts!$I:$I,TEXT($B$1,"yyyy-mm-dd")&amp;"|Morning|"&amp;$A105))</f>
        <v/>
      </c>
      <c r="F105" s="7" t="str">
        <f aca="false">IF(COUNTIFS(Counts!$I:$I,TEXT($B$1,"yyyy-mm-dd")&amp;"|Night|"&amp;$A105)=0,"",SUMIFS(Counts!$F:$F,Counts!$I:$I,TEXT($B$1,"yyyy-mm-dd")&amp;"|Night|"&amp;$A105))</f>
        <v/>
      </c>
      <c r="G105" s="7" t="str">
        <f aca="false">IF(OR($E105="",$F105=""),"",$E105-$F105)</f>
        <v/>
      </c>
      <c r="H105" s="7" t="str">
        <f aca="false">IFERROR(IF(INDEX(Items!$E:$E,MATCH($A105,Items!$A:$A,0))="","",INDEX(Items!$E:$E,MATCH($A105,Items!$A:$A,0))),"")</f>
        <v/>
      </c>
      <c r="I105" s="7" t="str">
        <f aca="false">IF($H105="","",IF(IF($F105="",$E105,$F105)="","",IF(IF($F105="",$E105,$F105)&lt;$H105,"ORDER","OK")))</f>
        <v/>
      </c>
    </row>
    <row r="106" customFormat="false" ht="15" hidden="false" customHeight="false" outlineLevel="0" collapsed="false">
      <c r="A106" s="2" t="n">
        <v>103</v>
      </c>
      <c r="B106" s="2" t="s">
        <v>137</v>
      </c>
      <c r="C106" s="2" t="s">
        <v>92</v>
      </c>
      <c r="D106" s="7" t="str">
        <f aca="false">IFERROR(IF(INDEX(Counts!$K:$K,MATCH(TEXT($B$1,"yyyy-mm-dd")&amp;"|Morning|"&amp;$A106,Counts!$I:$I,0))="","",INDEX(Counts!$K:$K,MATCH(TEXT($B$1,"yyyy-mm-dd")&amp;"|Morning|"&amp;$A106,Counts!$I:$I,0))),"")</f>
        <v/>
      </c>
      <c r="E106" s="7" t="str">
        <f aca="false">IF(COUNTIFS(Counts!$I:$I,TEXT($B$1,"yyyy-mm-dd")&amp;"|Morning|"&amp;$A106)=0,"",SUMIFS(Counts!$F:$F,Counts!$I:$I,TEXT($B$1,"yyyy-mm-dd")&amp;"|Morning|"&amp;$A106))</f>
        <v/>
      </c>
      <c r="F106" s="7" t="str">
        <f aca="false">IF(COUNTIFS(Counts!$I:$I,TEXT($B$1,"yyyy-mm-dd")&amp;"|Night|"&amp;$A106)=0,"",SUMIFS(Counts!$F:$F,Counts!$I:$I,TEXT($B$1,"yyyy-mm-dd")&amp;"|Night|"&amp;$A106))</f>
        <v/>
      </c>
      <c r="G106" s="7" t="str">
        <f aca="false">IF(OR($E106="",$F106=""),"",$E106-$F106)</f>
        <v/>
      </c>
      <c r="H106" s="7" t="str">
        <f aca="false">IFERROR(IF(INDEX(Items!$E:$E,MATCH($A106,Items!$A:$A,0))="","",INDEX(Items!$E:$E,MATCH($A106,Items!$A:$A,0))),"")</f>
        <v/>
      </c>
      <c r="I106" s="7" t="str">
        <f aca="false">IF($H106="","",IF(IF($F106="",$E106,$F106)="","",IF(IF($F106="",$E106,$F106)&lt;$H106,"ORDER","OK")))</f>
        <v/>
      </c>
    </row>
    <row r="107" customFormat="false" ht="15" hidden="false" customHeight="false" outlineLevel="0" collapsed="false">
      <c r="A107" s="2" t="n">
        <v>104</v>
      </c>
      <c r="B107" s="2" t="s">
        <v>138</v>
      </c>
      <c r="C107" s="2" t="s">
        <v>92</v>
      </c>
      <c r="D107" s="7" t="str">
        <f aca="false">IFERROR(IF(INDEX(Counts!$K:$K,MATCH(TEXT($B$1,"yyyy-mm-dd")&amp;"|Morning|"&amp;$A107,Counts!$I:$I,0))="","",INDEX(Counts!$K:$K,MATCH(TEXT($B$1,"yyyy-mm-dd")&amp;"|Morning|"&amp;$A107,Counts!$I:$I,0))),"")</f>
        <v/>
      </c>
      <c r="E107" s="7" t="str">
        <f aca="false">IF(COUNTIFS(Counts!$I:$I,TEXT($B$1,"yyyy-mm-dd")&amp;"|Morning|"&amp;$A107)=0,"",SUMIFS(Counts!$F:$F,Counts!$I:$I,TEXT($B$1,"yyyy-mm-dd")&amp;"|Morning|"&amp;$A107))</f>
        <v/>
      </c>
      <c r="F107" s="7" t="str">
        <f aca="false">IF(COUNTIFS(Counts!$I:$I,TEXT($B$1,"yyyy-mm-dd")&amp;"|Night|"&amp;$A107)=0,"",SUMIFS(Counts!$F:$F,Counts!$I:$I,TEXT($B$1,"yyyy-mm-dd")&amp;"|Night|"&amp;$A107))</f>
        <v/>
      </c>
      <c r="G107" s="7" t="str">
        <f aca="false">IF(OR($E107="",$F107=""),"",$E107-$F107)</f>
        <v/>
      </c>
      <c r="H107" s="7" t="str">
        <f aca="false">IFERROR(IF(INDEX(Items!$E:$E,MATCH($A107,Items!$A:$A,0))="","",INDEX(Items!$E:$E,MATCH($A107,Items!$A:$A,0))),"")</f>
        <v/>
      </c>
      <c r="I107" s="7" t="str">
        <f aca="false">IF($H107="","",IF(IF($F107="",$E107,$F107)="","",IF(IF($F107="",$E107,$F107)&lt;$H107,"ORDER","OK")))</f>
        <v/>
      </c>
    </row>
    <row r="108" customFormat="false" ht="15" hidden="false" customHeight="false" outlineLevel="0" collapsed="false">
      <c r="A108" s="2" t="n">
        <v>105</v>
      </c>
      <c r="B108" s="2" t="s">
        <v>139</v>
      </c>
      <c r="C108" s="2" t="s">
        <v>92</v>
      </c>
      <c r="D108" s="7" t="str">
        <f aca="false">IFERROR(IF(INDEX(Counts!$K:$K,MATCH(TEXT($B$1,"yyyy-mm-dd")&amp;"|Morning|"&amp;$A108,Counts!$I:$I,0))="","",INDEX(Counts!$K:$K,MATCH(TEXT($B$1,"yyyy-mm-dd")&amp;"|Morning|"&amp;$A108,Counts!$I:$I,0))),"")</f>
        <v/>
      </c>
      <c r="E108" s="7" t="str">
        <f aca="false">IF(COUNTIFS(Counts!$I:$I,TEXT($B$1,"yyyy-mm-dd")&amp;"|Morning|"&amp;$A108)=0,"",SUMIFS(Counts!$F:$F,Counts!$I:$I,TEXT($B$1,"yyyy-mm-dd")&amp;"|Morning|"&amp;$A108))</f>
        <v/>
      </c>
      <c r="F108" s="7" t="str">
        <f aca="false">IF(COUNTIFS(Counts!$I:$I,TEXT($B$1,"yyyy-mm-dd")&amp;"|Night|"&amp;$A108)=0,"",SUMIFS(Counts!$F:$F,Counts!$I:$I,TEXT($B$1,"yyyy-mm-dd")&amp;"|Night|"&amp;$A108))</f>
        <v/>
      </c>
      <c r="G108" s="7" t="str">
        <f aca="false">IF(OR($E108="",$F108=""),"",$E108-$F108)</f>
        <v/>
      </c>
      <c r="H108" s="7" t="str">
        <f aca="false">IFERROR(IF(INDEX(Items!$E:$E,MATCH($A108,Items!$A:$A,0))="","",INDEX(Items!$E:$E,MATCH($A108,Items!$A:$A,0))),"")</f>
        <v/>
      </c>
      <c r="I108" s="7" t="str">
        <f aca="false">IF($H108="","",IF(IF($F108="",$E108,$F108)="","",IF(IF($F108="",$E108,$F108)&lt;$H108,"ORDER","OK")))</f>
        <v/>
      </c>
    </row>
    <row r="109" customFormat="false" ht="15" hidden="false" customHeight="false" outlineLevel="0" collapsed="false">
      <c r="A109" s="2" t="n">
        <v>106</v>
      </c>
      <c r="B109" s="2" t="s">
        <v>140</v>
      </c>
      <c r="C109" s="2" t="s">
        <v>109</v>
      </c>
      <c r="D109" s="7" t="str">
        <f aca="false">IFERROR(IF(INDEX(Counts!$K:$K,MATCH(TEXT($B$1,"yyyy-mm-dd")&amp;"|Morning|"&amp;$A109,Counts!$I:$I,0))="","",INDEX(Counts!$K:$K,MATCH(TEXT($B$1,"yyyy-mm-dd")&amp;"|Morning|"&amp;$A109,Counts!$I:$I,0))),"")</f>
        <v/>
      </c>
      <c r="E109" s="7" t="str">
        <f aca="false">IF(COUNTIFS(Counts!$I:$I,TEXT($B$1,"yyyy-mm-dd")&amp;"|Morning|"&amp;$A109)=0,"",SUMIFS(Counts!$F:$F,Counts!$I:$I,TEXT($B$1,"yyyy-mm-dd")&amp;"|Morning|"&amp;$A109))</f>
        <v/>
      </c>
      <c r="F109" s="7" t="str">
        <f aca="false">IF(COUNTIFS(Counts!$I:$I,TEXT($B$1,"yyyy-mm-dd")&amp;"|Night|"&amp;$A109)=0,"",SUMIFS(Counts!$F:$F,Counts!$I:$I,TEXT($B$1,"yyyy-mm-dd")&amp;"|Night|"&amp;$A109))</f>
        <v/>
      </c>
      <c r="G109" s="7" t="str">
        <f aca="false">IF(OR($E109="",$F109=""),"",$E109-$F109)</f>
        <v/>
      </c>
      <c r="H109" s="7" t="str">
        <f aca="false">IFERROR(IF(INDEX(Items!$E:$E,MATCH($A109,Items!$A:$A,0))="","",INDEX(Items!$E:$E,MATCH($A109,Items!$A:$A,0))),"")</f>
        <v/>
      </c>
      <c r="I109" s="7" t="str">
        <f aca="false">IF($H109="","",IF(IF($F109="",$E109,$F109)="","",IF(IF($F109="",$E109,$F109)&lt;$H109,"ORDER","OK")))</f>
        <v/>
      </c>
    </row>
    <row r="110" customFormat="false" ht="15" hidden="false" customHeight="false" outlineLevel="0" collapsed="false">
      <c r="A110" s="2" t="n">
        <v>107</v>
      </c>
      <c r="B110" s="2" t="s">
        <v>141</v>
      </c>
      <c r="C110" s="2" t="s">
        <v>29</v>
      </c>
      <c r="D110" s="7" t="str">
        <f aca="false">IFERROR(IF(INDEX(Counts!$K:$K,MATCH(TEXT($B$1,"yyyy-mm-dd")&amp;"|Morning|"&amp;$A110,Counts!$I:$I,0))="","",INDEX(Counts!$K:$K,MATCH(TEXT($B$1,"yyyy-mm-dd")&amp;"|Morning|"&amp;$A110,Counts!$I:$I,0))),"")</f>
        <v/>
      </c>
      <c r="E110" s="7" t="str">
        <f aca="false">IF(COUNTIFS(Counts!$I:$I,TEXT($B$1,"yyyy-mm-dd")&amp;"|Morning|"&amp;$A110)=0,"",SUMIFS(Counts!$F:$F,Counts!$I:$I,TEXT($B$1,"yyyy-mm-dd")&amp;"|Morning|"&amp;$A110))</f>
        <v/>
      </c>
      <c r="F110" s="7" t="str">
        <f aca="false">IF(COUNTIFS(Counts!$I:$I,TEXT($B$1,"yyyy-mm-dd")&amp;"|Night|"&amp;$A110)=0,"",SUMIFS(Counts!$F:$F,Counts!$I:$I,TEXT($B$1,"yyyy-mm-dd")&amp;"|Night|"&amp;$A110))</f>
        <v/>
      </c>
      <c r="G110" s="7" t="str">
        <f aca="false">IF(OR($E110="",$F110=""),"",$E110-$F110)</f>
        <v/>
      </c>
      <c r="H110" s="7" t="str">
        <f aca="false">IFERROR(IF(INDEX(Items!$E:$E,MATCH($A110,Items!$A:$A,0))="","",INDEX(Items!$E:$E,MATCH($A110,Items!$A:$A,0))),"")</f>
        <v/>
      </c>
      <c r="I110" s="7" t="str">
        <f aca="false">IF($H110="","",IF(IF($F110="",$E110,$F110)="","",IF(IF($F110="",$E110,$F110)&lt;$H110,"ORDER","OK")))</f>
        <v/>
      </c>
    </row>
    <row r="111" customFormat="false" ht="15" hidden="false" customHeight="false" outlineLevel="0" collapsed="false">
      <c r="A111" s="2" t="n">
        <v>108</v>
      </c>
      <c r="B111" s="2" t="s">
        <v>142</v>
      </c>
      <c r="C111" s="2" t="s">
        <v>29</v>
      </c>
      <c r="D111" s="7" t="str">
        <f aca="false">IFERROR(IF(INDEX(Counts!$K:$K,MATCH(TEXT($B$1,"yyyy-mm-dd")&amp;"|Morning|"&amp;$A111,Counts!$I:$I,0))="","",INDEX(Counts!$K:$K,MATCH(TEXT($B$1,"yyyy-mm-dd")&amp;"|Morning|"&amp;$A111,Counts!$I:$I,0))),"")</f>
        <v/>
      </c>
      <c r="E111" s="7" t="str">
        <f aca="false">IF(COUNTIFS(Counts!$I:$I,TEXT($B$1,"yyyy-mm-dd")&amp;"|Morning|"&amp;$A111)=0,"",SUMIFS(Counts!$F:$F,Counts!$I:$I,TEXT($B$1,"yyyy-mm-dd")&amp;"|Morning|"&amp;$A111))</f>
        <v/>
      </c>
      <c r="F111" s="7" t="str">
        <f aca="false">IF(COUNTIFS(Counts!$I:$I,TEXT($B$1,"yyyy-mm-dd")&amp;"|Night|"&amp;$A111)=0,"",SUMIFS(Counts!$F:$F,Counts!$I:$I,TEXT($B$1,"yyyy-mm-dd")&amp;"|Night|"&amp;$A111))</f>
        <v/>
      </c>
      <c r="G111" s="7" t="str">
        <f aca="false">IF(OR($E111="",$F111=""),"",$E111-$F111)</f>
        <v/>
      </c>
      <c r="H111" s="7" t="str">
        <f aca="false">IFERROR(IF(INDEX(Items!$E:$E,MATCH($A111,Items!$A:$A,0))="","",INDEX(Items!$E:$E,MATCH($A111,Items!$A:$A,0))),"")</f>
        <v/>
      </c>
      <c r="I111" s="7" t="str">
        <f aca="false">IF($H111="","",IF(IF($F111="",$E111,$F111)="","",IF(IF($F111="",$E111,$F111)&lt;$H111,"ORDER","OK")))</f>
        <v/>
      </c>
    </row>
    <row r="112" customFormat="false" ht="15" hidden="false" customHeight="false" outlineLevel="0" collapsed="false">
      <c r="A112" s="2" t="n">
        <v>109</v>
      </c>
      <c r="B112" s="2" t="s">
        <v>143</v>
      </c>
      <c r="C112" s="2" t="s">
        <v>29</v>
      </c>
      <c r="D112" s="7" t="str">
        <f aca="false">IFERROR(IF(INDEX(Counts!$K:$K,MATCH(TEXT($B$1,"yyyy-mm-dd")&amp;"|Morning|"&amp;$A112,Counts!$I:$I,0))="","",INDEX(Counts!$K:$K,MATCH(TEXT($B$1,"yyyy-mm-dd")&amp;"|Morning|"&amp;$A112,Counts!$I:$I,0))),"")</f>
        <v/>
      </c>
      <c r="E112" s="7" t="str">
        <f aca="false">IF(COUNTIFS(Counts!$I:$I,TEXT($B$1,"yyyy-mm-dd")&amp;"|Morning|"&amp;$A112)=0,"",SUMIFS(Counts!$F:$F,Counts!$I:$I,TEXT($B$1,"yyyy-mm-dd")&amp;"|Morning|"&amp;$A112))</f>
        <v/>
      </c>
      <c r="F112" s="7" t="str">
        <f aca="false">IF(COUNTIFS(Counts!$I:$I,TEXT($B$1,"yyyy-mm-dd")&amp;"|Night|"&amp;$A112)=0,"",SUMIFS(Counts!$F:$F,Counts!$I:$I,TEXT($B$1,"yyyy-mm-dd")&amp;"|Night|"&amp;$A112))</f>
        <v/>
      </c>
      <c r="G112" s="7" t="str">
        <f aca="false">IF(OR($E112="",$F112=""),"",$E112-$F112)</f>
        <v/>
      </c>
      <c r="H112" s="7" t="str">
        <f aca="false">IFERROR(IF(INDEX(Items!$E:$E,MATCH($A112,Items!$A:$A,0))="","",INDEX(Items!$E:$E,MATCH($A112,Items!$A:$A,0))),"")</f>
        <v/>
      </c>
      <c r="I112" s="7" t="str">
        <f aca="false">IF($H112="","",IF(IF($F112="",$E112,$F112)="","",IF(IF($F112="",$E112,$F112)&lt;$H112,"ORDER","OK")))</f>
        <v/>
      </c>
    </row>
    <row r="113" customFormat="false" ht="15" hidden="false" customHeight="false" outlineLevel="0" collapsed="false">
      <c r="A113" s="2" t="n">
        <v>110</v>
      </c>
      <c r="B113" s="2" t="s">
        <v>144</v>
      </c>
      <c r="C113" s="2" t="s">
        <v>29</v>
      </c>
      <c r="D113" s="7" t="str">
        <f aca="false">IFERROR(IF(INDEX(Counts!$K:$K,MATCH(TEXT($B$1,"yyyy-mm-dd")&amp;"|Morning|"&amp;$A113,Counts!$I:$I,0))="","",INDEX(Counts!$K:$K,MATCH(TEXT($B$1,"yyyy-mm-dd")&amp;"|Morning|"&amp;$A113,Counts!$I:$I,0))),"")</f>
        <v/>
      </c>
      <c r="E113" s="7" t="str">
        <f aca="false">IF(COUNTIFS(Counts!$I:$I,TEXT($B$1,"yyyy-mm-dd")&amp;"|Morning|"&amp;$A113)=0,"",SUMIFS(Counts!$F:$F,Counts!$I:$I,TEXT($B$1,"yyyy-mm-dd")&amp;"|Morning|"&amp;$A113))</f>
        <v/>
      </c>
      <c r="F113" s="7" t="str">
        <f aca="false">IF(COUNTIFS(Counts!$I:$I,TEXT($B$1,"yyyy-mm-dd")&amp;"|Night|"&amp;$A113)=0,"",SUMIFS(Counts!$F:$F,Counts!$I:$I,TEXT($B$1,"yyyy-mm-dd")&amp;"|Night|"&amp;$A113))</f>
        <v/>
      </c>
      <c r="G113" s="7" t="str">
        <f aca="false">IF(OR($E113="",$F113=""),"",$E113-$F113)</f>
        <v/>
      </c>
      <c r="H113" s="7" t="str">
        <f aca="false">IFERROR(IF(INDEX(Items!$E:$E,MATCH($A113,Items!$A:$A,0))="","",INDEX(Items!$E:$E,MATCH($A113,Items!$A:$A,0))),"")</f>
        <v/>
      </c>
      <c r="I113" s="7" t="str">
        <f aca="false">IF($H113="","",IF(IF($F113="",$E113,$F113)="","",IF(IF($F113="",$E113,$F113)&lt;$H113,"ORDER","OK")))</f>
        <v/>
      </c>
    </row>
    <row r="114" customFormat="false" ht="15" hidden="false" customHeight="false" outlineLevel="0" collapsed="false">
      <c r="A114" s="2" t="n">
        <v>111</v>
      </c>
      <c r="B114" s="2" t="s">
        <v>145</v>
      </c>
      <c r="C114" s="2" t="s">
        <v>29</v>
      </c>
      <c r="D114" s="7" t="str">
        <f aca="false">IFERROR(IF(INDEX(Counts!$K:$K,MATCH(TEXT($B$1,"yyyy-mm-dd")&amp;"|Morning|"&amp;$A114,Counts!$I:$I,0))="","",INDEX(Counts!$K:$K,MATCH(TEXT($B$1,"yyyy-mm-dd")&amp;"|Morning|"&amp;$A114,Counts!$I:$I,0))),"")</f>
        <v/>
      </c>
      <c r="E114" s="7" t="str">
        <f aca="false">IF(COUNTIFS(Counts!$I:$I,TEXT($B$1,"yyyy-mm-dd")&amp;"|Morning|"&amp;$A114)=0,"",SUMIFS(Counts!$F:$F,Counts!$I:$I,TEXT($B$1,"yyyy-mm-dd")&amp;"|Morning|"&amp;$A114))</f>
        <v/>
      </c>
      <c r="F114" s="7" t="str">
        <f aca="false">IF(COUNTIFS(Counts!$I:$I,TEXT($B$1,"yyyy-mm-dd")&amp;"|Night|"&amp;$A114)=0,"",SUMIFS(Counts!$F:$F,Counts!$I:$I,TEXT($B$1,"yyyy-mm-dd")&amp;"|Night|"&amp;$A114))</f>
        <v/>
      </c>
      <c r="G114" s="7" t="str">
        <f aca="false">IF(OR($E114="",$F114=""),"",$E114-$F114)</f>
        <v/>
      </c>
      <c r="H114" s="7" t="str">
        <f aca="false">IFERROR(IF(INDEX(Items!$E:$E,MATCH($A114,Items!$A:$A,0))="","",INDEX(Items!$E:$E,MATCH($A114,Items!$A:$A,0))),"")</f>
        <v/>
      </c>
      <c r="I114" s="7" t="str">
        <f aca="false">IF($H114="","",IF(IF($F114="",$E114,$F114)="","",IF(IF($F114="",$E114,$F114)&lt;$H114,"ORDER","OK")))</f>
        <v/>
      </c>
    </row>
    <row r="115" customFormat="false" ht="15" hidden="false" customHeight="false" outlineLevel="0" collapsed="false">
      <c r="A115" s="2" t="n">
        <v>112</v>
      </c>
      <c r="B115" s="2" t="s">
        <v>146</v>
      </c>
      <c r="C115" s="2" t="s">
        <v>29</v>
      </c>
      <c r="D115" s="7" t="str">
        <f aca="false">IFERROR(IF(INDEX(Counts!$K:$K,MATCH(TEXT($B$1,"yyyy-mm-dd")&amp;"|Morning|"&amp;$A115,Counts!$I:$I,0))="","",INDEX(Counts!$K:$K,MATCH(TEXT($B$1,"yyyy-mm-dd")&amp;"|Morning|"&amp;$A115,Counts!$I:$I,0))),"")</f>
        <v/>
      </c>
      <c r="E115" s="7" t="str">
        <f aca="false">IF(COUNTIFS(Counts!$I:$I,TEXT($B$1,"yyyy-mm-dd")&amp;"|Morning|"&amp;$A115)=0,"",SUMIFS(Counts!$F:$F,Counts!$I:$I,TEXT($B$1,"yyyy-mm-dd")&amp;"|Morning|"&amp;$A115))</f>
        <v/>
      </c>
      <c r="F115" s="7" t="str">
        <f aca="false">IF(COUNTIFS(Counts!$I:$I,TEXT($B$1,"yyyy-mm-dd")&amp;"|Night|"&amp;$A115)=0,"",SUMIFS(Counts!$F:$F,Counts!$I:$I,TEXT($B$1,"yyyy-mm-dd")&amp;"|Night|"&amp;$A115))</f>
        <v/>
      </c>
      <c r="G115" s="7" t="str">
        <f aca="false">IF(OR($E115="",$F115=""),"",$E115-$F115)</f>
        <v/>
      </c>
      <c r="H115" s="7" t="str">
        <f aca="false">IFERROR(IF(INDEX(Items!$E:$E,MATCH($A115,Items!$A:$A,0))="","",INDEX(Items!$E:$E,MATCH($A115,Items!$A:$A,0))),"")</f>
        <v/>
      </c>
      <c r="I115" s="7" t="str">
        <f aca="false">IF($H115="","",IF(IF($F115="",$E115,$F115)="","",IF(IF($F115="",$E115,$F115)&lt;$H115,"ORDER","OK")))</f>
        <v/>
      </c>
    </row>
    <row r="116" customFormat="false" ht="15" hidden="false" customHeight="false" outlineLevel="0" collapsed="false">
      <c r="A116" s="2" t="n">
        <v>113</v>
      </c>
      <c r="B116" s="2" t="s">
        <v>147</v>
      </c>
      <c r="C116" s="2" t="s">
        <v>29</v>
      </c>
      <c r="D116" s="7" t="str">
        <f aca="false">IFERROR(IF(INDEX(Counts!$K:$K,MATCH(TEXT($B$1,"yyyy-mm-dd")&amp;"|Morning|"&amp;$A116,Counts!$I:$I,0))="","",INDEX(Counts!$K:$K,MATCH(TEXT($B$1,"yyyy-mm-dd")&amp;"|Morning|"&amp;$A116,Counts!$I:$I,0))),"")</f>
        <v/>
      </c>
      <c r="E116" s="7" t="str">
        <f aca="false">IF(COUNTIFS(Counts!$I:$I,TEXT($B$1,"yyyy-mm-dd")&amp;"|Morning|"&amp;$A116)=0,"",SUMIFS(Counts!$F:$F,Counts!$I:$I,TEXT($B$1,"yyyy-mm-dd")&amp;"|Morning|"&amp;$A116))</f>
        <v/>
      </c>
      <c r="F116" s="7" t="str">
        <f aca="false">IF(COUNTIFS(Counts!$I:$I,TEXT($B$1,"yyyy-mm-dd")&amp;"|Night|"&amp;$A116)=0,"",SUMIFS(Counts!$F:$F,Counts!$I:$I,TEXT($B$1,"yyyy-mm-dd")&amp;"|Night|"&amp;$A116))</f>
        <v/>
      </c>
      <c r="G116" s="7" t="str">
        <f aca="false">IF(OR($E116="",$F116=""),"",$E116-$F116)</f>
        <v/>
      </c>
      <c r="H116" s="7" t="str">
        <f aca="false">IFERROR(IF(INDEX(Items!$E:$E,MATCH($A116,Items!$A:$A,0))="","",INDEX(Items!$E:$E,MATCH($A116,Items!$A:$A,0))),"")</f>
        <v/>
      </c>
      <c r="I116" s="7" t="str">
        <f aca="false">IF($H116="","",IF(IF($F116="",$E116,$F116)="","",IF(IF($F116="",$E116,$F116)&lt;$H116,"ORDER","OK")))</f>
        <v/>
      </c>
    </row>
    <row r="117" customFormat="false" ht="15" hidden="false" customHeight="false" outlineLevel="0" collapsed="false">
      <c r="A117" s="2" t="n">
        <v>114</v>
      </c>
      <c r="B117" s="2" t="s">
        <v>148</v>
      </c>
      <c r="C117" s="2" t="s">
        <v>29</v>
      </c>
      <c r="D117" s="7" t="str">
        <f aca="false">IFERROR(IF(INDEX(Counts!$K:$K,MATCH(TEXT($B$1,"yyyy-mm-dd")&amp;"|Morning|"&amp;$A117,Counts!$I:$I,0))="","",INDEX(Counts!$K:$K,MATCH(TEXT($B$1,"yyyy-mm-dd")&amp;"|Morning|"&amp;$A117,Counts!$I:$I,0))),"")</f>
        <v/>
      </c>
      <c r="E117" s="7" t="str">
        <f aca="false">IF(COUNTIFS(Counts!$I:$I,TEXT($B$1,"yyyy-mm-dd")&amp;"|Morning|"&amp;$A117)=0,"",SUMIFS(Counts!$F:$F,Counts!$I:$I,TEXT($B$1,"yyyy-mm-dd")&amp;"|Morning|"&amp;$A117))</f>
        <v/>
      </c>
      <c r="F117" s="7" t="str">
        <f aca="false">IF(COUNTIFS(Counts!$I:$I,TEXT($B$1,"yyyy-mm-dd")&amp;"|Night|"&amp;$A117)=0,"",SUMIFS(Counts!$F:$F,Counts!$I:$I,TEXT($B$1,"yyyy-mm-dd")&amp;"|Night|"&amp;$A117))</f>
        <v/>
      </c>
      <c r="G117" s="7" t="str">
        <f aca="false">IF(OR($E117="",$F117=""),"",$E117-$F117)</f>
        <v/>
      </c>
      <c r="H117" s="7" t="str">
        <f aca="false">IFERROR(IF(INDEX(Items!$E:$E,MATCH($A117,Items!$A:$A,0))="","",INDEX(Items!$E:$E,MATCH($A117,Items!$A:$A,0))),"")</f>
        <v/>
      </c>
      <c r="I117" s="7" t="str">
        <f aca="false">IF($H117="","",IF(IF($F117="",$E117,$F117)="","",IF(IF($F117="",$E117,$F117)&lt;$H117,"ORDER","OK")))</f>
        <v/>
      </c>
    </row>
    <row r="118" customFormat="false" ht="15" hidden="false" customHeight="false" outlineLevel="0" collapsed="false">
      <c r="A118" s="2" t="n">
        <v>115</v>
      </c>
      <c r="B118" s="2" t="s">
        <v>149</v>
      </c>
      <c r="C118" s="2" t="s">
        <v>29</v>
      </c>
      <c r="D118" s="7" t="str">
        <f aca="false">IFERROR(IF(INDEX(Counts!$K:$K,MATCH(TEXT($B$1,"yyyy-mm-dd")&amp;"|Morning|"&amp;$A118,Counts!$I:$I,0))="","",INDEX(Counts!$K:$K,MATCH(TEXT($B$1,"yyyy-mm-dd")&amp;"|Morning|"&amp;$A118,Counts!$I:$I,0))),"")</f>
        <v/>
      </c>
      <c r="E118" s="7" t="str">
        <f aca="false">IF(COUNTIFS(Counts!$I:$I,TEXT($B$1,"yyyy-mm-dd")&amp;"|Morning|"&amp;$A118)=0,"",SUMIFS(Counts!$F:$F,Counts!$I:$I,TEXT($B$1,"yyyy-mm-dd")&amp;"|Morning|"&amp;$A118))</f>
        <v/>
      </c>
      <c r="F118" s="7" t="str">
        <f aca="false">IF(COUNTIFS(Counts!$I:$I,TEXT($B$1,"yyyy-mm-dd")&amp;"|Night|"&amp;$A118)=0,"",SUMIFS(Counts!$F:$F,Counts!$I:$I,TEXT($B$1,"yyyy-mm-dd")&amp;"|Night|"&amp;$A118))</f>
        <v/>
      </c>
      <c r="G118" s="7" t="str">
        <f aca="false">IF(OR($E118="",$F118=""),"",$E118-$F118)</f>
        <v/>
      </c>
      <c r="H118" s="7" t="str">
        <f aca="false">IFERROR(IF(INDEX(Items!$E:$E,MATCH($A118,Items!$A:$A,0))="","",INDEX(Items!$E:$E,MATCH($A118,Items!$A:$A,0))),"")</f>
        <v/>
      </c>
      <c r="I118" s="7" t="str">
        <f aca="false">IF($H118="","",IF(IF($F118="",$E118,$F118)="","",IF(IF($F118="",$E118,$F118)&lt;$H118,"ORDER","OK")))</f>
        <v/>
      </c>
    </row>
    <row r="119" customFormat="false" ht="15" hidden="false" customHeight="false" outlineLevel="0" collapsed="false">
      <c r="A119" s="2" t="n">
        <v>116</v>
      </c>
      <c r="B119" s="2" t="s">
        <v>150</v>
      </c>
      <c r="C119" s="2" t="s">
        <v>83</v>
      </c>
      <c r="D119" s="7" t="str">
        <f aca="false">IFERROR(IF(INDEX(Counts!$K:$K,MATCH(TEXT($B$1,"yyyy-mm-dd")&amp;"|Morning|"&amp;$A119,Counts!$I:$I,0))="","",INDEX(Counts!$K:$K,MATCH(TEXT($B$1,"yyyy-mm-dd")&amp;"|Morning|"&amp;$A119,Counts!$I:$I,0))),"")</f>
        <v/>
      </c>
      <c r="E119" s="7" t="str">
        <f aca="false">IF(COUNTIFS(Counts!$I:$I,TEXT($B$1,"yyyy-mm-dd")&amp;"|Morning|"&amp;$A119)=0,"",SUMIFS(Counts!$F:$F,Counts!$I:$I,TEXT($B$1,"yyyy-mm-dd")&amp;"|Morning|"&amp;$A119))</f>
        <v/>
      </c>
      <c r="F119" s="7" t="str">
        <f aca="false">IF(COUNTIFS(Counts!$I:$I,TEXT($B$1,"yyyy-mm-dd")&amp;"|Night|"&amp;$A119)=0,"",SUMIFS(Counts!$F:$F,Counts!$I:$I,TEXT($B$1,"yyyy-mm-dd")&amp;"|Night|"&amp;$A119))</f>
        <v/>
      </c>
      <c r="G119" s="7" t="str">
        <f aca="false">IF(OR($E119="",$F119=""),"",$E119-$F119)</f>
        <v/>
      </c>
      <c r="H119" s="7" t="str">
        <f aca="false">IFERROR(IF(INDEX(Items!$E:$E,MATCH($A119,Items!$A:$A,0))="","",INDEX(Items!$E:$E,MATCH($A119,Items!$A:$A,0))),"")</f>
        <v/>
      </c>
      <c r="I119" s="7" t="str">
        <f aca="false">IF($H119="","",IF(IF($F119="",$E119,$F119)="","",IF(IF($F119="",$E119,$F119)&lt;$H119,"ORDER","OK")))</f>
        <v/>
      </c>
    </row>
    <row r="120" customFormat="false" ht="15" hidden="false" customHeight="false" outlineLevel="0" collapsed="false">
      <c r="A120" s="2" t="n">
        <v>117</v>
      </c>
      <c r="B120" s="2" t="s">
        <v>151</v>
      </c>
      <c r="C120" s="2" t="s">
        <v>83</v>
      </c>
      <c r="D120" s="7" t="str">
        <f aca="false">IFERROR(IF(INDEX(Counts!$K:$K,MATCH(TEXT($B$1,"yyyy-mm-dd")&amp;"|Morning|"&amp;$A120,Counts!$I:$I,0))="","",INDEX(Counts!$K:$K,MATCH(TEXT($B$1,"yyyy-mm-dd")&amp;"|Morning|"&amp;$A120,Counts!$I:$I,0))),"")</f>
        <v/>
      </c>
      <c r="E120" s="7" t="str">
        <f aca="false">IF(COUNTIFS(Counts!$I:$I,TEXT($B$1,"yyyy-mm-dd")&amp;"|Morning|"&amp;$A120)=0,"",SUMIFS(Counts!$F:$F,Counts!$I:$I,TEXT($B$1,"yyyy-mm-dd")&amp;"|Morning|"&amp;$A120))</f>
        <v/>
      </c>
      <c r="F120" s="7" t="str">
        <f aca="false">IF(COUNTIFS(Counts!$I:$I,TEXT($B$1,"yyyy-mm-dd")&amp;"|Night|"&amp;$A120)=0,"",SUMIFS(Counts!$F:$F,Counts!$I:$I,TEXT($B$1,"yyyy-mm-dd")&amp;"|Night|"&amp;$A120))</f>
        <v/>
      </c>
      <c r="G120" s="7" t="str">
        <f aca="false">IF(OR($E120="",$F120=""),"",$E120-$F120)</f>
        <v/>
      </c>
      <c r="H120" s="7" t="str">
        <f aca="false">IFERROR(IF(INDEX(Items!$E:$E,MATCH($A120,Items!$A:$A,0))="","",INDEX(Items!$E:$E,MATCH($A120,Items!$A:$A,0))),"")</f>
        <v/>
      </c>
      <c r="I120" s="7" t="str">
        <f aca="false">IF($H120="","",IF(IF($F120="",$E120,$F120)="","",IF(IF($F120="",$E120,$F120)&lt;$H120,"ORDER","OK")))</f>
        <v/>
      </c>
    </row>
    <row r="122" customFormat="false" ht="15" hidden="false" customHeight="false" outlineLevel="0" collapsed="false">
      <c r="B122" s="3" t="s">
        <v>176</v>
      </c>
    </row>
    <row r="123" customFormat="false" ht="15" hidden="false" customHeight="false" outlineLevel="0" collapsed="false">
      <c r="B123" s="3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2026-08-29T15:42:43Z</dcterms:created>
  <dc:creator>openpyxl</dc:creator>
  <dc:description/>
  <dc:language>en-US</dc:language>
  <cp:lastModifiedBy/>
  <dcterms:modified xsi:type="dcterms:W3CDTF">2026-08-29T15:42:43Z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